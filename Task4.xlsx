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oding Challenge\Excel\"/>
    </mc:Choice>
  </mc:AlternateContent>
  <xr:revisionPtr revIDLastSave="0" documentId="13_ncr:1_{12274A8E-D0CA-483A-8965-61DBDB1BC61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Task4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2" i="5"/>
  <c r="L4" i="5"/>
  <c r="L5" i="5"/>
  <c r="L3" i="5"/>
  <c r="L2" i="5"/>
</calcChain>
</file>

<file path=xl/sharedStrings.xml><?xml version="1.0" encoding="utf-8"?>
<sst xmlns="http://schemas.openxmlformats.org/spreadsheetml/2006/main" count="1635" uniqueCount="192">
  <si>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</si>
  <si>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</si>
  <si>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</si>
  <si>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</si>
  <si>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</si>
  <si>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</si>
  <si>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</si>
  <si>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</si>
  <si>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</si>
  <si>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</si>
  <si>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EMP1001</t>
  </si>
  <si>
    <t>EMP1002</t>
  </si>
  <si>
    <t>EMP1003</t>
  </si>
  <si>
    <t>EMP1004</t>
  </si>
  <si>
    <t>EMP1005</t>
  </si>
  <si>
    <t>EMP1006</t>
  </si>
  <si>
    <t>EMP1007</t>
  </si>
  <si>
    <t>EMP1008</t>
  </si>
  <si>
    <t>EMP1009</t>
  </si>
  <si>
    <t>EMP1010</t>
  </si>
  <si>
    <t>EMP1011</t>
  </si>
  <si>
    <t>EMP1012</t>
  </si>
  <si>
    <t>EMP1013</t>
  </si>
  <si>
    <t>EMP1014</t>
  </si>
  <si>
    <t>EMP1015</t>
  </si>
  <si>
    <t>EMP1016</t>
  </si>
  <si>
    <t>EMP1017</t>
  </si>
  <si>
    <t>EMP1018</t>
  </si>
  <si>
    <t>EMP1019</t>
  </si>
  <si>
    <t>EMP1020</t>
  </si>
  <si>
    <t>EMP1021</t>
  </si>
  <si>
    <t>EMP1022</t>
  </si>
  <si>
    <t>EMP1023</t>
  </si>
  <si>
    <t>EMP1024</t>
  </si>
  <si>
    <t>EMP1025</t>
  </si>
  <si>
    <t>EMP1026</t>
  </si>
  <si>
    <t>EMP1027</t>
  </si>
  <si>
    <t>EMP1028</t>
  </si>
  <si>
    <t>EMP1029</t>
  </si>
  <si>
    <t>EMP1030</t>
  </si>
  <si>
    <t>EMP1031</t>
  </si>
  <si>
    <t>EMP1032</t>
  </si>
  <si>
    <t>EMP1033</t>
  </si>
  <si>
    <t>EMP1034</t>
  </si>
  <si>
    <t>EMP1035</t>
  </si>
  <si>
    <t>EMP1036</t>
  </si>
  <si>
    <t>EMP1037</t>
  </si>
  <si>
    <t>EMP1038</t>
  </si>
  <si>
    <t>EMP1039</t>
  </si>
  <si>
    <t>EMP1040</t>
  </si>
  <si>
    <t>EMP1041</t>
  </si>
  <si>
    <t>EMP1042</t>
  </si>
  <si>
    <t>EMP1043</t>
  </si>
  <si>
    <t>EMP1044</t>
  </si>
  <si>
    <t>EMP1045</t>
  </si>
  <si>
    <t>EMP1046</t>
  </si>
  <si>
    <t>EMP1047</t>
  </si>
  <si>
    <t>EMP1048</t>
  </si>
  <si>
    <t>EMP1049</t>
  </si>
  <si>
    <t>EMP1050</t>
  </si>
  <si>
    <t>EMP1051</t>
  </si>
  <si>
    <t>EMP1052</t>
  </si>
  <si>
    <t>EMP1053</t>
  </si>
  <si>
    <t>EMP1054</t>
  </si>
  <si>
    <t>EMP1055</t>
  </si>
  <si>
    <t>EMP1056</t>
  </si>
  <si>
    <t>EMP1057</t>
  </si>
  <si>
    <t>EMP1058</t>
  </si>
  <si>
    <t>EMP1059</t>
  </si>
  <si>
    <t>EMP1060</t>
  </si>
  <si>
    <t>EMP1061</t>
  </si>
  <si>
    <t>EMP1062</t>
  </si>
  <si>
    <t>EMP1063</t>
  </si>
  <si>
    <t>EMP1064</t>
  </si>
  <si>
    <t>EMP1065</t>
  </si>
  <si>
    <t>EMP1066</t>
  </si>
  <si>
    <t>EMP1067</t>
  </si>
  <si>
    <t>EMP1068</t>
  </si>
  <si>
    <t>EMP1069</t>
  </si>
  <si>
    <t>EMP1070</t>
  </si>
  <si>
    <t>EMP1071</t>
  </si>
  <si>
    <t>EMP1072</t>
  </si>
  <si>
    <t>EMP1073</t>
  </si>
  <si>
    <t>EMP1074</t>
  </si>
  <si>
    <t>EMP1075</t>
  </si>
  <si>
    <t>EMP1076</t>
  </si>
  <si>
    <t>EMP1077</t>
  </si>
  <si>
    <t>EMP1078</t>
  </si>
  <si>
    <t>EMP1079</t>
  </si>
  <si>
    <t>EMP1080</t>
  </si>
  <si>
    <t>EMP1081</t>
  </si>
  <si>
    <t>EMP1082</t>
  </si>
  <si>
    <t>EMP1083</t>
  </si>
  <si>
    <t>EMP1084</t>
  </si>
  <si>
    <t>EMP1085</t>
  </si>
  <si>
    <t>EMP1086</t>
  </si>
  <si>
    <t>EMP1087</t>
  </si>
  <si>
    <t>EMP1088</t>
  </si>
  <si>
    <t>EMP1089</t>
  </si>
  <si>
    <t>EMP1090</t>
  </si>
  <si>
    <t>EMP1091</t>
  </si>
  <si>
    <t>EMP1092</t>
  </si>
  <si>
    <t>EMP1093</t>
  </si>
  <si>
    <t>EMP1094</t>
  </si>
  <si>
    <t>EMP1095</t>
  </si>
  <si>
    <t>EMP1096</t>
  </si>
  <si>
    <t>EMP1097</t>
  </si>
  <si>
    <t>EMP1098</t>
  </si>
  <si>
    <t>EMP1099</t>
  </si>
  <si>
    <t>EMP1100</t>
  </si>
  <si>
    <t>EMP1101</t>
  </si>
  <si>
    <t>EMP1102</t>
  </si>
  <si>
    <t>EMP1103</t>
  </si>
  <si>
    <t>EMP1104</t>
  </si>
  <si>
    <t>EMP1105</t>
  </si>
  <si>
    <t>EMP1106</t>
  </si>
  <si>
    <t>EMP1107</t>
  </si>
  <si>
    <t>EMP1108</t>
  </si>
  <si>
    <t>EMP1109</t>
  </si>
  <si>
    <t>EMP1110</t>
  </si>
  <si>
    <t>EMP1111</t>
  </si>
  <si>
    <t>EMP1112</t>
  </si>
  <si>
    <t>EMP1113</t>
  </si>
  <si>
    <t>EMP1114</t>
  </si>
  <si>
    <t>EMP1115</t>
  </si>
  <si>
    <t>EMP1116</t>
  </si>
  <si>
    <t>EMP1117</t>
  </si>
  <si>
    <t>EMP1118</t>
  </si>
  <si>
    <t>EMP1119</t>
  </si>
  <si>
    <t>EMP1120</t>
  </si>
  <si>
    <t>EMP1121</t>
  </si>
  <si>
    <t>EMP1122</t>
  </si>
  <si>
    <t>EMP1123</t>
  </si>
  <si>
    <t>EMP1124</t>
  </si>
  <si>
    <t>EMP1125</t>
  </si>
  <si>
    <t>EMP1126</t>
  </si>
  <si>
    <t>EMP1127</t>
  </si>
  <si>
    <t>EMP1128</t>
  </si>
  <si>
    <t>EMP1129</t>
  </si>
  <si>
    <t>EMP1130</t>
  </si>
  <si>
    <t>EMP1131</t>
  </si>
  <si>
    <t>EMP1132</t>
  </si>
  <si>
    <t>EMP1133</t>
  </si>
  <si>
    <t>EMP1134</t>
  </si>
  <si>
    <t>EMP1135</t>
  </si>
  <si>
    <t>EMP1136</t>
  </si>
  <si>
    <t>EMP1137</t>
  </si>
  <si>
    <t>EMP1138</t>
  </si>
  <si>
    <t>EMP1139</t>
  </si>
  <si>
    <t>EMP1140</t>
  </si>
  <si>
    <t>EMP1141</t>
  </si>
  <si>
    <t>EMP1142</t>
  </si>
  <si>
    <t>EMP1143</t>
  </si>
  <si>
    <t>EMP1144</t>
  </si>
  <si>
    <t>EMP1145</t>
  </si>
  <si>
    <t>EMP1146</t>
  </si>
  <si>
    <t>EMP1147</t>
  </si>
  <si>
    <t>EMP1148</t>
  </si>
  <si>
    <t>EMP1149</t>
  </si>
  <si>
    <t>Eve Adams</t>
  </si>
  <si>
    <t>Alice Brown</t>
  </si>
  <si>
    <t>John Doe</t>
  </si>
  <si>
    <t>Jane Smith</t>
  </si>
  <si>
    <t>Sam Wilson</t>
  </si>
  <si>
    <t>Chris Lee</t>
  </si>
  <si>
    <t>Bob Johnson</t>
  </si>
  <si>
    <t>Finance</t>
  </si>
  <si>
    <t>HR</t>
  </si>
  <si>
    <t>Sales</t>
  </si>
  <si>
    <t>IT</t>
  </si>
  <si>
    <t>Marketing</t>
  </si>
  <si>
    <t xml:space="preserve"> </t>
  </si>
  <si>
    <t>Germany</t>
  </si>
  <si>
    <t>USA</t>
  </si>
  <si>
    <t>India</t>
  </si>
  <si>
    <t>UK</t>
  </si>
  <si>
    <t>Australia</t>
  </si>
  <si>
    <t>N/A</t>
  </si>
  <si>
    <t>Unknown</t>
  </si>
  <si>
    <t>Other</t>
  </si>
  <si>
    <t>Male</t>
  </si>
  <si>
    <t>Female</t>
  </si>
  <si>
    <t>invalid_email</t>
  </si>
  <si>
    <t>user106@example.com</t>
  </si>
  <si>
    <t>user176@example.com</t>
  </si>
  <si>
    <t>Observation :</t>
  </si>
  <si>
    <t xml:space="preserve">     No.Of Employees earning above 50,000</t>
  </si>
  <si>
    <t xml:space="preserve">     No.Of Employees earning lessthan 50,000</t>
  </si>
  <si>
    <t>Rating</t>
  </si>
  <si>
    <t xml:space="preserve">     Average salary of employee above 50,000</t>
  </si>
  <si>
    <t xml:space="preserve">     Sum of salary above 50,000</t>
  </si>
  <si>
    <t>If function was used to categorize performance ratings into excellent, good and poor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</si>
</sst>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&quot;₹&quot;\ #,##0.00"/>
    <numFmt numFmtId="166" formatCode="&quot;₹&quot;\ #,##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top"/>
    </xf>
    <xf numFmtId="166" fontId="0" fillId="0" borderId="0" xfId="0" applyNumberFormat="1"/>
    <xf numFmtId="165" fontId="0" fillId="0" borderId="0" xfId="0" applyNumberFormat="1" applyAlignment="1">
      <alignment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6" fontId="1" fillId="2" borderId="0" xfId="0" applyNumberFormat="1" applyFont="1" applyFill="1" applyAlignment="1">
      <alignment horizontal="center" vertical="top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5">
    <dxf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</dxf>
    <dxf>
      <numFmt numFmtId="166" formatCode="&quot;₹&quot;\ 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center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7764AC7-66AC-4A70-9B5E-23D8D9031032}" name="Table4" displayName="Table4" ref="A1:J151" totalsRowShown="0" headerRowDxfId="4">
  <autoFilter ref="A1:J151" xr:uid="{E7764AC7-66AC-4A70-9B5E-23D8D9031032}"/>
  <tableColumns count="10">
    <tableColumn id="1" xr3:uid="{AE8694A0-1F05-4360-A14A-252CFA1E09E8}" name="Employee ID"/>
    <tableColumn id="2" xr3:uid="{279BCF72-BD91-465F-BDD1-E0D17CB9ED83}" name="Name"/>
    <tableColumn id="3" xr3:uid="{7BCDA69D-ECAA-474B-8DC7-C12DA64C57CE}" name="Department"/>
    <tableColumn id="4" xr3:uid="{E1FAE4EA-F2AD-4D3C-BE5B-B61CBDAED9BE}" name="Country"/>
    <tableColumn id="5" xr3:uid="{7833C6C1-CD56-49ED-BC28-A602DB13820D}" name="Salary" dataDxfId="3"/>
    <tableColumn id="6" xr3:uid="{3B600F97-E7A1-415A-BDF9-494C7C45571E}" name="Date of Joining" dataDxfId="2"/>
    <tableColumn id="7" xr3:uid="{0B13802A-0379-483D-B701-16BCEE9CA5F7}" name="Performance Rating" dataDxfId="1"/>
    <tableColumn id="8" xr3:uid="{E12DBE94-938A-4332-A5FC-3F5782123FA2}" name="Rating" dataDxfId="0">
      <calculatedColumnFormula>IF(G2="","",IF(G2=5,"Excellent",IF(G2&gt;=3,"Good","Bad")))</calculatedColumnFormula>
    </tableColumn>
    <tableColumn id="9" xr3:uid="{B6AF51DF-E6F8-44A1-A325-681D41B377D6}" name="Gender"/>
    <tableColumn id="10" xr3:uid="{DD463E9E-230F-4ABC-8CA3-34AD77D8E351}" name="Email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workbookViewId="0">
      <selection activeCell="G2" sqref="G2"/>
    </sheetView>
  </sheetViews>
  <sheetFormatPr defaultRowHeight="14.4" x14ac:dyDescent="0.3"/>
  <cols>
    <col min="6" max="6" width="16.554687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9</v>
      </c>
      <c r="C2" t="s">
        <v>166</v>
      </c>
      <c r="D2" t="s">
        <v>171</v>
      </c>
      <c r="E2" t="s">
        <v>177</v>
      </c>
      <c r="G2">
        <v>2</v>
      </c>
      <c r="H2" t="s">
        <v>178</v>
      </c>
      <c r="I2" t="s">
        <v>182</v>
      </c>
    </row>
    <row r="3" spans="1:9" x14ac:dyDescent="0.3">
      <c r="A3" t="s">
        <v>10</v>
      </c>
      <c r="B3" t="s">
        <v>159</v>
      </c>
      <c r="C3" t="s">
        <v>167</v>
      </c>
      <c r="D3" t="s">
        <v>172</v>
      </c>
      <c r="E3">
        <v>54255</v>
      </c>
      <c r="F3" s="2">
        <v>42015</v>
      </c>
      <c r="G3">
        <v>1</v>
      </c>
      <c r="H3" t="s">
        <v>179</v>
      </c>
      <c r="I3" t="s">
        <v>183</v>
      </c>
    </row>
    <row r="4" spans="1:9" x14ac:dyDescent="0.3">
      <c r="A4" t="s">
        <v>11</v>
      </c>
      <c r="B4" t="s">
        <v>160</v>
      </c>
      <c r="C4" t="s">
        <v>166</v>
      </c>
      <c r="D4" t="s">
        <v>172</v>
      </c>
      <c r="E4">
        <v>63184</v>
      </c>
      <c r="F4" s="2">
        <v>42022</v>
      </c>
      <c r="G4">
        <v>2</v>
      </c>
      <c r="I4" t="s">
        <v>184</v>
      </c>
    </row>
    <row r="5" spans="1:9" x14ac:dyDescent="0.3">
      <c r="A5" t="s">
        <v>12</v>
      </c>
      <c r="B5" t="s">
        <v>161</v>
      </c>
      <c r="C5" t="s">
        <v>168</v>
      </c>
      <c r="D5" t="s">
        <v>173</v>
      </c>
      <c r="E5">
        <v>94406</v>
      </c>
      <c r="F5" s="2">
        <v>42029</v>
      </c>
      <c r="G5">
        <v>1</v>
      </c>
      <c r="H5" t="s">
        <v>180</v>
      </c>
      <c r="I5" t="s">
        <v>184</v>
      </c>
    </row>
    <row r="6" spans="1:9" x14ac:dyDescent="0.3">
      <c r="A6" t="s">
        <v>13</v>
      </c>
      <c r="B6" t="s">
        <v>162</v>
      </c>
      <c r="C6" t="s">
        <v>168</v>
      </c>
      <c r="D6" t="s">
        <v>172</v>
      </c>
      <c r="E6">
        <v>64120</v>
      </c>
      <c r="F6" s="2">
        <v>42036</v>
      </c>
      <c r="G6">
        <v>1</v>
      </c>
      <c r="H6" t="s">
        <v>180</v>
      </c>
      <c r="I6" t="s">
        <v>184</v>
      </c>
    </row>
    <row r="7" spans="1:9" x14ac:dyDescent="0.3">
      <c r="A7" t="s">
        <v>14</v>
      </c>
      <c r="B7" t="s">
        <v>160</v>
      </c>
      <c r="C7" t="s">
        <v>169</v>
      </c>
      <c r="D7" t="s">
        <v>174</v>
      </c>
      <c r="E7">
        <v>78421</v>
      </c>
      <c r="F7" s="2">
        <v>42043</v>
      </c>
      <c r="G7">
        <v>2</v>
      </c>
      <c r="H7" t="s">
        <v>181</v>
      </c>
      <c r="I7" t="s">
        <v>184</v>
      </c>
    </row>
    <row r="8" spans="1:9" x14ac:dyDescent="0.3">
      <c r="A8" t="s">
        <v>15</v>
      </c>
      <c r="B8" t="s">
        <v>163</v>
      </c>
      <c r="C8" t="s">
        <v>168</v>
      </c>
      <c r="E8">
        <v>67721</v>
      </c>
      <c r="F8" s="2">
        <v>42050</v>
      </c>
      <c r="H8" t="s">
        <v>180</v>
      </c>
      <c r="I8" t="s">
        <v>184</v>
      </c>
    </row>
    <row r="9" spans="1:9" x14ac:dyDescent="0.3">
      <c r="A9" t="s">
        <v>16</v>
      </c>
      <c r="B9" t="s">
        <v>164</v>
      </c>
      <c r="C9" t="s">
        <v>170</v>
      </c>
      <c r="E9">
        <v>35364</v>
      </c>
      <c r="F9" s="2">
        <v>42057</v>
      </c>
      <c r="G9">
        <v>2</v>
      </c>
      <c r="H9" t="s">
        <v>179</v>
      </c>
      <c r="I9" t="s">
        <v>184</v>
      </c>
    </row>
    <row r="10" spans="1:9" x14ac:dyDescent="0.3">
      <c r="A10" t="s">
        <v>17</v>
      </c>
      <c r="B10" t="s">
        <v>160</v>
      </c>
      <c r="C10" t="s">
        <v>169</v>
      </c>
      <c r="D10" t="s">
        <v>172</v>
      </c>
      <c r="E10">
        <v>97881</v>
      </c>
      <c r="F10" s="2">
        <v>42064</v>
      </c>
      <c r="H10" t="s">
        <v>181</v>
      </c>
      <c r="I10" t="s">
        <v>184</v>
      </c>
    </row>
    <row r="11" spans="1:9" x14ac:dyDescent="0.3">
      <c r="A11" t="s">
        <v>18</v>
      </c>
      <c r="B11" t="s">
        <v>164</v>
      </c>
      <c r="C11" t="s">
        <v>167</v>
      </c>
      <c r="D11" t="s">
        <v>175</v>
      </c>
      <c r="E11">
        <v>91846</v>
      </c>
      <c r="F11" s="2">
        <v>42071</v>
      </c>
      <c r="H11" t="s">
        <v>180</v>
      </c>
      <c r="I11" t="s">
        <v>184</v>
      </c>
    </row>
    <row r="12" spans="1:9" x14ac:dyDescent="0.3">
      <c r="A12" t="s">
        <v>19</v>
      </c>
      <c r="B12" t="s">
        <v>163</v>
      </c>
      <c r="C12" t="s">
        <v>166</v>
      </c>
      <c r="D12" t="s">
        <v>175</v>
      </c>
      <c r="E12">
        <v>64247</v>
      </c>
      <c r="F12" s="2">
        <v>42078</v>
      </c>
      <c r="G12">
        <v>1</v>
      </c>
      <c r="H12" t="s">
        <v>181</v>
      </c>
      <c r="I12" t="s">
        <v>184</v>
      </c>
    </row>
    <row r="13" spans="1:9" x14ac:dyDescent="0.3">
      <c r="A13" t="s">
        <v>20</v>
      </c>
      <c r="B13" t="s">
        <v>163</v>
      </c>
      <c r="C13" t="s">
        <v>169</v>
      </c>
      <c r="D13" t="s">
        <v>173</v>
      </c>
      <c r="E13">
        <v>91180</v>
      </c>
      <c r="F13" s="2">
        <v>42085</v>
      </c>
      <c r="G13">
        <v>5</v>
      </c>
      <c r="H13" t="s">
        <v>180</v>
      </c>
      <c r="I13" t="s">
        <v>184</v>
      </c>
    </row>
    <row r="14" spans="1:9" x14ac:dyDescent="0.3">
      <c r="A14" t="s">
        <v>21</v>
      </c>
      <c r="B14" t="s">
        <v>165</v>
      </c>
      <c r="C14" t="s">
        <v>168</v>
      </c>
      <c r="E14">
        <v>96418</v>
      </c>
      <c r="F14" s="2">
        <v>42092</v>
      </c>
      <c r="G14">
        <v>5</v>
      </c>
      <c r="H14" t="s">
        <v>180</v>
      </c>
      <c r="I14" t="s">
        <v>184</v>
      </c>
    </row>
    <row r="15" spans="1:9" x14ac:dyDescent="0.3">
      <c r="A15" t="s">
        <v>22</v>
      </c>
      <c r="B15" t="s">
        <v>163</v>
      </c>
      <c r="D15" t="s">
        <v>174</v>
      </c>
      <c r="E15">
        <v>62158</v>
      </c>
      <c r="F15" s="2">
        <v>42099</v>
      </c>
      <c r="G15">
        <v>4</v>
      </c>
      <c r="I15" t="s">
        <v>184</v>
      </c>
    </row>
    <row r="16" spans="1:9" x14ac:dyDescent="0.3">
      <c r="A16" t="s">
        <v>23</v>
      </c>
      <c r="B16" t="s">
        <v>162</v>
      </c>
      <c r="C16" t="s">
        <v>167</v>
      </c>
      <c r="E16">
        <v>59894</v>
      </c>
      <c r="F16" s="2">
        <v>42106</v>
      </c>
      <c r="G16">
        <v>2</v>
      </c>
      <c r="H16" t="s">
        <v>180</v>
      </c>
      <c r="I16" t="s">
        <v>184</v>
      </c>
    </row>
    <row r="17" spans="1:9" x14ac:dyDescent="0.3">
      <c r="A17" t="s">
        <v>24</v>
      </c>
      <c r="C17" t="s">
        <v>169</v>
      </c>
      <c r="D17" t="s">
        <v>174</v>
      </c>
      <c r="E17">
        <v>92443</v>
      </c>
      <c r="F17" s="2">
        <v>42113</v>
      </c>
      <c r="G17">
        <v>3</v>
      </c>
      <c r="H17" t="s">
        <v>179</v>
      </c>
      <c r="I17" t="s">
        <v>184</v>
      </c>
    </row>
    <row r="18" spans="1:9" x14ac:dyDescent="0.3">
      <c r="A18" t="s">
        <v>25</v>
      </c>
      <c r="B18" t="s">
        <v>165</v>
      </c>
      <c r="D18" t="s">
        <v>172</v>
      </c>
      <c r="E18">
        <v>90271</v>
      </c>
      <c r="F18" s="2">
        <v>42120</v>
      </c>
      <c r="I18" t="s">
        <v>184</v>
      </c>
    </row>
    <row r="19" spans="1:9" x14ac:dyDescent="0.3">
      <c r="A19" t="s">
        <v>26</v>
      </c>
      <c r="B19" t="s">
        <v>162</v>
      </c>
      <c r="C19" t="s">
        <v>166</v>
      </c>
      <c r="D19" t="s">
        <v>176</v>
      </c>
      <c r="E19">
        <v>41341</v>
      </c>
      <c r="F19" s="2">
        <v>42127</v>
      </c>
      <c r="G19">
        <v>1</v>
      </c>
      <c r="H19" t="s">
        <v>179</v>
      </c>
      <c r="I19" t="s">
        <v>184</v>
      </c>
    </row>
    <row r="20" spans="1:9" x14ac:dyDescent="0.3">
      <c r="A20" t="s">
        <v>27</v>
      </c>
      <c r="B20" t="s">
        <v>160</v>
      </c>
      <c r="C20" t="s">
        <v>166</v>
      </c>
      <c r="D20" t="s">
        <v>175</v>
      </c>
      <c r="E20">
        <v>73602</v>
      </c>
      <c r="F20" s="2">
        <v>42134</v>
      </c>
      <c r="I20" t="s">
        <v>184</v>
      </c>
    </row>
    <row r="21" spans="1:9" x14ac:dyDescent="0.3">
      <c r="A21" t="s">
        <v>28</v>
      </c>
      <c r="B21" t="s">
        <v>159</v>
      </c>
      <c r="D21" t="s">
        <v>174</v>
      </c>
      <c r="E21">
        <v>67531</v>
      </c>
      <c r="F21" s="2">
        <v>42141</v>
      </c>
      <c r="G21">
        <v>5</v>
      </c>
      <c r="H21" t="s">
        <v>181</v>
      </c>
      <c r="I21" t="s">
        <v>184</v>
      </c>
    </row>
    <row r="22" spans="1:9" x14ac:dyDescent="0.3">
      <c r="A22" t="s">
        <v>29</v>
      </c>
      <c r="B22" t="s">
        <v>162</v>
      </c>
      <c r="C22" t="s">
        <v>167</v>
      </c>
      <c r="D22" t="s">
        <v>173</v>
      </c>
      <c r="E22" t="s">
        <v>177</v>
      </c>
      <c r="F22" s="2">
        <v>42148</v>
      </c>
      <c r="G22">
        <v>2</v>
      </c>
      <c r="H22" t="s">
        <v>179</v>
      </c>
      <c r="I22" t="s">
        <v>184</v>
      </c>
    </row>
    <row r="23" spans="1:9" x14ac:dyDescent="0.3">
      <c r="A23" t="s">
        <v>30</v>
      </c>
      <c r="B23" t="s">
        <v>162</v>
      </c>
      <c r="C23" t="s">
        <v>167</v>
      </c>
      <c r="E23">
        <v>98922</v>
      </c>
      <c r="F23" s="2">
        <v>42155</v>
      </c>
      <c r="G23">
        <v>4</v>
      </c>
      <c r="I23" t="s">
        <v>184</v>
      </c>
    </row>
    <row r="24" spans="1:9" x14ac:dyDescent="0.3">
      <c r="A24" t="s">
        <v>31</v>
      </c>
      <c r="B24" t="s">
        <v>159</v>
      </c>
      <c r="C24" t="s">
        <v>166</v>
      </c>
      <c r="D24" t="s">
        <v>174</v>
      </c>
      <c r="E24">
        <v>38333</v>
      </c>
      <c r="F24" s="2">
        <v>42162</v>
      </c>
      <c r="G24">
        <v>5</v>
      </c>
      <c r="I24" t="s">
        <v>184</v>
      </c>
    </row>
    <row r="25" spans="1:9" x14ac:dyDescent="0.3">
      <c r="A25" t="s">
        <v>32</v>
      </c>
      <c r="B25" t="s">
        <v>160</v>
      </c>
      <c r="C25" t="s">
        <v>170</v>
      </c>
      <c r="D25" t="s">
        <v>175</v>
      </c>
      <c r="E25">
        <v>36515</v>
      </c>
      <c r="F25" s="2">
        <v>42169</v>
      </c>
      <c r="G25">
        <v>3</v>
      </c>
      <c r="H25" t="s">
        <v>180</v>
      </c>
      <c r="I25" t="s">
        <v>184</v>
      </c>
    </row>
    <row r="26" spans="1:9" x14ac:dyDescent="0.3">
      <c r="A26" t="s">
        <v>33</v>
      </c>
      <c r="B26" t="s">
        <v>163</v>
      </c>
      <c r="C26" t="s">
        <v>166</v>
      </c>
      <c r="E26">
        <v>91005</v>
      </c>
      <c r="F26" s="2">
        <v>42176</v>
      </c>
      <c r="G26">
        <v>1</v>
      </c>
      <c r="H26" t="s">
        <v>179</v>
      </c>
      <c r="I26" t="s">
        <v>184</v>
      </c>
    </row>
    <row r="27" spans="1:9" x14ac:dyDescent="0.3">
      <c r="A27" t="s">
        <v>34</v>
      </c>
      <c r="B27" t="s">
        <v>164</v>
      </c>
      <c r="D27" t="s">
        <v>171</v>
      </c>
      <c r="E27">
        <v>52272</v>
      </c>
      <c r="F27" s="2">
        <v>42183</v>
      </c>
      <c r="G27">
        <v>3</v>
      </c>
      <c r="I27" t="s">
        <v>184</v>
      </c>
    </row>
    <row r="28" spans="1:9" x14ac:dyDescent="0.3">
      <c r="A28" t="s">
        <v>35</v>
      </c>
      <c r="B28" t="s">
        <v>159</v>
      </c>
      <c r="C28" t="s">
        <v>168</v>
      </c>
      <c r="D28" t="s">
        <v>172</v>
      </c>
      <c r="E28">
        <v>76518</v>
      </c>
      <c r="F28" s="2">
        <v>42190</v>
      </c>
      <c r="G28">
        <v>2</v>
      </c>
      <c r="H28" t="s">
        <v>181</v>
      </c>
      <c r="I28" t="s">
        <v>184</v>
      </c>
    </row>
    <row r="29" spans="1:9" x14ac:dyDescent="0.3">
      <c r="A29" t="s">
        <v>36</v>
      </c>
      <c r="B29" t="s">
        <v>160</v>
      </c>
      <c r="C29" t="s">
        <v>169</v>
      </c>
      <c r="D29" t="s">
        <v>175</v>
      </c>
      <c r="E29">
        <v>41448</v>
      </c>
      <c r="F29" s="2">
        <v>42197</v>
      </c>
      <c r="G29">
        <v>3</v>
      </c>
      <c r="H29" t="s">
        <v>179</v>
      </c>
      <c r="I29" t="s">
        <v>184</v>
      </c>
    </row>
    <row r="30" spans="1:9" x14ac:dyDescent="0.3">
      <c r="A30" t="s">
        <v>37</v>
      </c>
      <c r="B30" t="s">
        <v>161</v>
      </c>
      <c r="C30" t="s">
        <v>167</v>
      </c>
      <c r="D30" t="s">
        <v>175</v>
      </c>
      <c r="E30">
        <v>49282</v>
      </c>
      <c r="F30" s="2">
        <v>42204</v>
      </c>
      <c r="G30">
        <v>2</v>
      </c>
      <c r="H30" t="s">
        <v>181</v>
      </c>
      <c r="I30" t="s">
        <v>184</v>
      </c>
    </row>
    <row r="31" spans="1:9" x14ac:dyDescent="0.3">
      <c r="A31" t="s">
        <v>38</v>
      </c>
      <c r="B31" t="s">
        <v>165</v>
      </c>
      <c r="C31" t="s">
        <v>170</v>
      </c>
      <c r="D31" t="s">
        <v>175</v>
      </c>
      <c r="E31">
        <v>92959</v>
      </c>
      <c r="F31" s="2">
        <v>42211</v>
      </c>
      <c r="G31">
        <v>5</v>
      </c>
      <c r="I31" t="s">
        <v>184</v>
      </c>
    </row>
    <row r="32" spans="1:9" x14ac:dyDescent="0.3">
      <c r="A32" t="s">
        <v>39</v>
      </c>
      <c r="C32" t="s">
        <v>170</v>
      </c>
      <c r="E32">
        <v>92259</v>
      </c>
      <c r="G32">
        <v>1</v>
      </c>
      <c r="H32" t="s">
        <v>178</v>
      </c>
      <c r="I32" t="s">
        <v>184</v>
      </c>
    </row>
    <row r="33" spans="1:9" x14ac:dyDescent="0.3">
      <c r="A33" t="s">
        <v>40</v>
      </c>
      <c r="B33" t="s">
        <v>159</v>
      </c>
      <c r="C33" t="s">
        <v>167</v>
      </c>
      <c r="D33" t="s">
        <v>172</v>
      </c>
      <c r="E33">
        <v>92299</v>
      </c>
      <c r="F33" s="2">
        <v>42225</v>
      </c>
      <c r="G33">
        <v>3</v>
      </c>
      <c r="H33" t="s">
        <v>180</v>
      </c>
      <c r="I33" t="s">
        <v>184</v>
      </c>
    </row>
    <row r="34" spans="1:9" x14ac:dyDescent="0.3">
      <c r="A34" t="s">
        <v>41</v>
      </c>
      <c r="B34" t="s">
        <v>163</v>
      </c>
      <c r="C34" t="s">
        <v>167</v>
      </c>
      <c r="E34">
        <v>95586</v>
      </c>
      <c r="F34" s="2">
        <v>42232</v>
      </c>
      <c r="G34">
        <v>3</v>
      </c>
      <c r="H34" t="s">
        <v>179</v>
      </c>
      <c r="I34" t="s">
        <v>184</v>
      </c>
    </row>
    <row r="35" spans="1:9" x14ac:dyDescent="0.3">
      <c r="A35" t="s">
        <v>42</v>
      </c>
      <c r="B35" t="s">
        <v>164</v>
      </c>
      <c r="D35" t="s">
        <v>173</v>
      </c>
      <c r="E35">
        <v>95367</v>
      </c>
      <c r="F35" s="2">
        <v>42239</v>
      </c>
      <c r="H35" t="s">
        <v>180</v>
      </c>
      <c r="I35" t="s">
        <v>184</v>
      </c>
    </row>
    <row r="36" spans="1:9" x14ac:dyDescent="0.3">
      <c r="A36" t="s">
        <v>43</v>
      </c>
      <c r="B36" t="s">
        <v>161</v>
      </c>
      <c r="C36" t="s">
        <v>168</v>
      </c>
      <c r="D36" t="s">
        <v>176</v>
      </c>
      <c r="E36">
        <v>79549</v>
      </c>
      <c r="F36" s="2">
        <v>42246</v>
      </c>
      <c r="G36">
        <v>3</v>
      </c>
      <c r="I36" t="s">
        <v>184</v>
      </c>
    </row>
    <row r="37" spans="1:9" x14ac:dyDescent="0.3">
      <c r="A37" t="s">
        <v>44</v>
      </c>
      <c r="B37" t="s">
        <v>160</v>
      </c>
      <c r="D37" t="s">
        <v>175</v>
      </c>
      <c r="E37">
        <v>54463</v>
      </c>
      <c r="F37" s="2">
        <v>42253</v>
      </c>
      <c r="G37">
        <v>4</v>
      </c>
      <c r="H37" t="s">
        <v>180</v>
      </c>
      <c r="I37" t="s">
        <v>184</v>
      </c>
    </row>
    <row r="38" spans="1:9" x14ac:dyDescent="0.3">
      <c r="A38" t="s">
        <v>45</v>
      </c>
      <c r="B38" t="s">
        <v>160</v>
      </c>
      <c r="C38" t="s">
        <v>169</v>
      </c>
      <c r="D38" t="s">
        <v>173</v>
      </c>
      <c r="E38">
        <v>89781</v>
      </c>
      <c r="F38" s="2">
        <v>42260</v>
      </c>
      <c r="H38" t="s">
        <v>181</v>
      </c>
      <c r="I38" t="s">
        <v>184</v>
      </c>
    </row>
    <row r="39" spans="1:9" x14ac:dyDescent="0.3">
      <c r="A39" t="s">
        <v>46</v>
      </c>
      <c r="B39" t="s">
        <v>160</v>
      </c>
      <c r="C39" t="s">
        <v>167</v>
      </c>
      <c r="E39">
        <v>64796</v>
      </c>
      <c r="F39" s="2">
        <v>42267</v>
      </c>
      <c r="H39" t="s">
        <v>179</v>
      </c>
      <c r="I39" t="s">
        <v>184</v>
      </c>
    </row>
    <row r="40" spans="1:9" x14ac:dyDescent="0.3">
      <c r="A40" t="s">
        <v>47</v>
      </c>
      <c r="B40" t="s">
        <v>161</v>
      </c>
      <c r="C40" t="s">
        <v>170</v>
      </c>
      <c r="D40" t="s">
        <v>175</v>
      </c>
      <c r="E40">
        <v>52093</v>
      </c>
      <c r="F40" s="2">
        <v>42274</v>
      </c>
      <c r="G40">
        <v>5</v>
      </c>
      <c r="I40" t="s">
        <v>184</v>
      </c>
    </row>
    <row r="41" spans="1:9" x14ac:dyDescent="0.3">
      <c r="A41" t="s">
        <v>48</v>
      </c>
      <c r="B41" t="s">
        <v>164</v>
      </c>
      <c r="C41" t="s">
        <v>167</v>
      </c>
      <c r="D41" t="s">
        <v>175</v>
      </c>
      <c r="E41">
        <v>48224</v>
      </c>
      <c r="F41" s="2">
        <v>42281</v>
      </c>
      <c r="G41">
        <v>3</v>
      </c>
      <c r="I41" t="s">
        <v>184</v>
      </c>
    </row>
    <row r="42" spans="1:9" x14ac:dyDescent="0.3">
      <c r="A42" t="s">
        <v>49</v>
      </c>
      <c r="B42" t="s">
        <v>165</v>
      </c>
      <c r="C42" t="s">
        <v>166</v>
      </c>
      <c r="D42" t="s">
        <v>175</v>
      </c>
      <c r="E42" t="s">
        <v>177</v>
      </c>
      <c r="G42">
        <v>4</v>
      </c>
      <c r="H42" t="s">
        <v>181</v>
      </c>
      <c r="I42" t="s">
        <v>184</v>
      </c>
    </row>
    <row r="43" spans="1:9" x14ac:dyDescent="0.3">
      <c r="A43" t="s">
        <v>50</v>
      </c>
      <c r="B43" t="s">
        <v>160</v>
      </c>
      <c r="C43" t="s">
        <v>169</v>
      </c>
      <c r="D43" t="s">
        <v>172</v>
      </c>
      <c r="E43">
        <v>33956</v>
      </c>
      <c r="F43" s="2">
        <v>42295</v>
      </c>
      <c r="I43" t="s">
        <v>184</v>
      </c>
    </row>
    <row r="44" spans="1:9" x14ac:dyDescent="0.3">
      <c r="A44" t="s">
        <v>51</v>
      </c>
      <c r="B44" t="s">
        <v>165</v>
      </c>
      <c r="D44" t="s">
        <v>176</v>
      </c>
      <c r="E44">
        <v>64913</v>
      </c>
      <c r="F44" s="2">
        <v>42302</v>
      </c>
      <c r="G44">
        <v>1</v>
      </c>
      <c r="H44" t="s">
        <v>181</v>
      </c>
      <c r="I44" t="s">
        <v>184</v>
      </c>
    </row>
    <row r="45" spans="1:9" x14ac:dyDescent="0.3">
      <c r="A45" t="s">
        <v>52</v>
      </c>
      <c r="B45" t="s">
        <v>160</v>
      </c>
      <c r="C45" t="s">
        <v>170</v>
      </c>
      <c r="D45" t="s">
        <v>176</v>
      </c>
      <c r="E45">
        <v>35326</v>
      </c>
      <c r="F45" s="2">
        <v>42309</v>
      </c>
      <c r="H45" t="s">
        <v>181</v>
      </c>
      <c r="I45" t="s">
        <v>184</v>
      </c>
    </row>
    <row r="46" spans="1:9" x14ac:dyDescent="0.3">
      <c r="A46" t="s">
        <v>53</v>
      </c>
      <c r="B46" t="s">
        <v>164</v>
      </c>
      <c r="C46" t="s">
        <v>166</v>
      </c>
      <c r="E46">
        <v>81610</v>
      </c>
      <c r="F46" s="2">
        <v>42316</v>
      </c>
      <c r="G46">
        <v>1</v>
      </c>
      <c r="I46" t="s">
        <v>184</v>
      </c>
    </row>
    <row r="47" spans="1:9" x14ac:dyDescent="0.3">
      <c r="A47" t="s">
        <v>54</v>
      </c>
      <c r="C47" t="s">
        <v>167</v>
      </c>
      <c r="E47">
        <v>58962</v>
      </c>
      <c r="F47" s="2">
        <v>42323</v>
      </c>
      <c r="G47">
        <v>3</v>
      </c>
      <c r="H47" t="s">
        <v>179</v>
      </c>
      <c r="I47" t="s">
        <v>184</v>
      </c>
    </row>
    <row r="48" spans="1:9" x14ac:dyDescent="0.3">
      <c r="A48" t="s">
        <v>55</v>
      </c>
      <c r="B48" t="s">
        <v>164</v>
      </c>
      <c r="C48" t="s">
        <v>169</v>
      </c>
      <c r="D48" t="s">
        <v>172</v>
      </c>
      <c r="E48">
        <v>92701</v>
      </c>
      <c r="F48" s="2">
        <v>42330</v>
      </c>
      <c r="G48">
        <v>3</v>
      </c>
      <c r="H48" t="s">
        <v>179</v>
      </c>
      <c r="I48" t="s">
        <v>184</v>
      </c>
    </row>
    <row r="49" spans="1:9" x14ac:dyDescent="0.3">
      <c r="A49" t="s">
        <v>56</v>
      </c>
      <c r="B49" t="s">
        <v>164</v>
      </c>
      <c r="C49" t="s">
        <v>167</v>
      </c>
      <c r="D49" t="s">
        <v>174</v>
      </c>
      <c r="E49">
        <v>58245</v>
      </c>
      <c r="F49" s="2">
        <v>42337</v>
      </c>
      <c r="G49">
        <v>4</v>
      </c>
      <c r="I49" t="s">
        <v>184</v>
      </c>
    </row>
    <row r="50" spans="1:9" x14ac:dyDescent="0.3">
      <c r="A50" t="s">
        <v>57</v>
      </c>
      <c r="B50" t="s">
        <v>161</v>
      </c>
      <c r="C50" t="s">
        <v>166</v>
      </c>
      <c r="E50">
        <v>66513</v>
      </c>
      <c r="F50" s="2">
        <v>42344</v>
      </c>
      <c r="G50">
        <v>2</v>
      </c>
      <c r="H50" t="s">
        <v>179</v>
      </c>
      <c r="I50" t="s">
        <v>184</v>
      </c>
    </row>
    <row r="51" spans="1:9" x14ac:dyDescent="0.3">
      <c r="A51" t="s">
        <v>58</v>
      </c>
      <c r="B51" t="s">
        <v>159</v>
      </c>
      <c r="C51" t="s">
        <v>167</v>
      </c>
      <c r="D51" t="s">
        <v>172</v>
      </c>
      <c r="E51">
        <v>78720</v>
      </c>
      <c r="F51" s="2">
        <v>42351</v>
      </c>
      <c r="G51">
        <v>5</v>
      </c>
      <c r="H51" t="s">
        <v>181</v>
      </c>
      <c r="I51" t="s">
        <v>184</v>
      </c>
    </row>
    <row r="52" spans="1:9" x14ac:dyDescent="0.3">
      <c r="A52" t="s">
        <v>59</v>
      </c>
      <c r="B52" t="s">
        <v>164</v>
      </c>
      <c r="D52" t="s">
        <v>171</v>
      </c>
      <c r="E52">
        <v>30686</v>
      </c>
      <c r="G52">
        <v>2</v>
      </c>
      <c r="H52" t="s">
        <v>181</v>
      </c>
      <c r="I52" t="s">
        <v>184</v>
      </c>
    </row>
    <row r="53" spans="1:9" x14ac:dyDescent="0.3">
      <c r="A53" t="s">
        <v>60</v>
      </c>
      <c r="B53" t="s">
        <v>163</v>
      </c>
      <c r="C53" t="s">
        <v>168</v>
      </c>
      <c r="D53" t="s">
        <v>174</v>
      </c>
      <c r="E53">
        <v>39423</v>
      </c>
      <c r="F53" s="2">
        <v>42365</v>
      </c>
      <c r="G53">
        <v>5</v>
      </c>
      <c r="I53" t="s">
        <v>184</v>
      </c>
    </row>
    <row r="54" spans="1:9" x14ac:dyDescent="0.3">
      <c r="A54" t="s">
        <v>61</v>
      </c>
      <c r="B54" t="s">
        <v>159</v>
      </c>
      <c r="C54" t="s">
        <v>170</v>
      </c>
      <c r="E54">
        <v>30280</v>
      </c>
      <c r="F54" s="2">
        <v>42372</v>
      </c>
      <c r="G54">
        <v>1</v>
      </c>
      <c r="I54" t="s">
        <v>184</v>
      </c>
    </row>
    <row r="55" spans="1:9" x14ac:dyDescent="0.3">
      <c r="A55" t="s">
        <v>62</v>
      </c>
      <c r="B55" t="s">
        <v>159</v>
      </c>
      <c r="C55" t="s">
        <v>166</v>
      </c>
      <c r="D55" t="s">
        <v>175</v>
      </c>
      <c r="E55">
        <v>33352</v>
      </c>
      <c r="F55" s="2">
        <v>42379</v>
      </c>
      <c r="G55">
        <v>3</v>
      </c>
      <c r="H55" t="s">
        <v>181</v>
      </c>
      <c r="I55" t="s">
        <v>184</v>
      </c>
    </row>
    <row r="56" spans="1:9" x14ac:dyDescent="0.3">
      <c r="A56" t="s">
        <v>63</v>
      </c>
      <c r="B56" t="s">
        <v>165</v>
      </c>
      <c r="C56" t="s">
        <v>170</v>
      </c>
      <c r="D56" t="s">
        <v>175</v>
      </c>
      <c r="E56">
        <v>75633</v>
      </c>
      <c r="F56" s="2">
        <v>42386</v>
      </c>
      <c r="G56">
        <v>5</v>
      </c>
      <c r="H56" t="s">
        <v>179</v>
      </c>
      <c r="I56" t="s">
        <v>184</v>
      </c>
    </row>
    <row r="57" spans="1:9" x14ac:dyDescent="0.3">
      <c r="A57" t="s">
        <v>64</v>
      </c>
      <c r="B57" t="s">
        <v>164</v>
      </c>
      <c r="D57" t="s">
        <v>173</v>
      </c>
      <c r="E57">
        <v>74815</v>
      </c>
      <c r="F57" s="2">
        <v>42393</v>
      </c>
      <c r="G57">
        <v>5</v>
      </c>
      <c r="H57" t="s">
        <v>181</v>
      </c>
      <c r="I57" t="s">
        <v>184</v>
      </c>
    </row>
    <row r="58" spans="1:9" x14ac:dyDescent="0.3">
      <c r="A58" t="s">
        <v>65</v>
      </c>
      <c r="B58" t="s">
        <v>161</v>
      </c>
      <c r="C58" t="s">
        <v>168</v>
      </c>
      <c r="D58" t="s">
        <v>176</v>
      </c>
      <c r="E58">
        <v>60011</v>
      </c>
      <c r="F58" s="2">
        <v>42400</v>
      </c>
      <c r="G58">
        <v>1</v>
      </c>
      <c r="H58" t="s">
        <v>180</v>
      </c>
      <c r="I58" t="s">
        <v>184</v>
      </c>
    </row>
    <row r="59" spans="1:9" x14ac:dyDescent="0.3">
      <c r="A59" t="s">
        <v>66</v>
      </c>
      <c r="B59" t="s">
        <v>159</v>
      </c>
      <c r="D59" t="s">
        <v>174</v>
      </c>
      <c r="E59">
        <v>96949</v>
      </c>
      <c r="F59" s="2">
        <v>42407</v>
      </c>
      <c r="G59">
        <v>3</v>
      </c>
      <c r="I59" t="s">
        <v>184</v>
      </c>
    </row>
    <row r="60" spans="1:9" x14ac:dyDescent="0.3">
      <c r="A60" t="s">
        <v>67</v>
      </c>
      <c r="B60" t="s">
        <v>163</v>
      </c>
      <c r="C60" t="s">
        <v>170</v>
      </c>
      <c r="E60">
        <v>84924</v>
      </c>
      <c r="F60" s="2">
        <v>42414</v>
      </c>
      <c r="G60">
        <v>5</v>
      </c>
      <c r="H60" t="s">
        <v>180</v>
      </c>
      <c r="I60" t="s">
        <v>184</v>
      </c>
    </row>
    <row r="61" spans="1:9" x14ac:dyDescent="0.3">
      <c r="A61" t="s">
        <v>68</v>
      </c>
      <c r="B61" t="s">
        <v>163</v>
      </c>
      <c r="C61" t="s">
        <v>166</v>
      </c>
      <c r="D61" t="s">
        <v>173</v>
      </c>
      <c r="E61">
        <v>82033</v>
      </c>
      <c r="F61" s="2">
        <v>42421</v>
      </c>
      <c r="G61">
        <v>1</v>
      </c>
      <c r="I61" t="s">
        <v>184</v>
      </c>
    </row>
    <row r="62" spans="1:9" x14ac:dyDescent="0.3">
      <c r="A62" t="s">
        <v>69</v>
      </c>
      <c r="C62" t="s">
        <v>170</v>
      </c>
      <c r="D62" t="s">
        <v>172</v>
      </c>
      <c r="E62" t="s">
        <v>177</v>
      </c>
      <c r="G62">
        <v>5</v>
      </c>
      <c r="H62" t="s">
        <v>178</v>
      </c>
      <c r="I62" t="s">
        <v>184</v>
      </c>
    </row>
    <row r="63" spans="1:9" x14ac:dyDescent="0.3">
      <c r="A63" t="s">
        <v>70</v>
      </c>
      <c r="B63" t="s">
        <v>159</v>
      </c>
      <c r="D63" t="s">
        <v>176</v>
      </c>
      <c r="E63">
        <v>31499</v>
      </c>
      <c r="F63" s="2">
        <v>42435</v>
      </c>
      <c r="G63">
        <v>2</v>
      </c>
      <c r="I63" t="s">
        <v>184</v>
      </c>
    </row>
    <row r="64" spans="1:9" x14ac:dyDescent="0.3">
      <c r="A64" t="s">
        <v>71</v>
      </c>
      <c r="B64" t="s">
        <v>164</v>
      </c>
      <c r="C64" t="s">
        <v>169</v>
      </c>
      <c r="D64" t="s">
        <v>175</v>
      </c>
      <c r="E64">
        <v>97981</v>
      </c>
      <c r="F64" s="2">
        <v>42442</v>
      </c>
      <c r="G64">
        <v>5</v>
      </c>
      <c r="H64" t="s">
        <v>181</v>
      </c>
      <c r="I64" t="s">
        <v>184</v>
      </c>
    </row>
    <row r="65" spans="1:9" x14ac:dyDescent="0.3">
      <c r="A65" t="s">
        <v>72</v>
      </c>
      <c r="B65" t="s">
        <v>159</v>
      </c>
      <c r="C65" t="s">
        <v>167</v>
      </c>
      <c r="D65" t="s">
        <v>173</v>
      </c>
      <c r="E65">
        <v>36541</v>
      </c>
      <c r="F65" s="2">
        <v>42449</v>
      </c>
      <c r="G65">
        <v>2</v>
      </c>
      <c r="H65" t="s">
        <v>179</v>
      </c>
      <c r="I65" t="s">
        <v>184</v>
      </c>
    </row>
    <row r="66" spans="1:9" x14ac:dyDescent="0.3">
      <c r="A66" t="s">
        <v>73</v>
      </c>
      <c r="B66" t="s">
        <v>161</v>
      </c>
      <c r="C66" t="s">
        <v>169</v>
      </c>
      <c r="D66" t="s">
        <v>174</v>
      </c>
      <c r="E66">
        <v>84737</v>
      </c>
      <c r="F66" s="2">
        <v>42456</v>
      </c>
      <c r="G66">
        <v>1</v>
      </c>
      <c r="H66" t="s">
        <v>180</v>
      </c>
      <c r="I66" t="s">
        <v>184</v>
      </c>
    </row>
    <row r="67" spans="1:9" x14ac:dyDescent="0.3">
      <c r="A67" t="s">
        <v>74</v>
      </c>
      <c r="B67" t="s">
        <v>163</v>
      </c>
      <c r="C67" t="s">
        <v>166</v>
      </c>
      <c r="D67" t="s">
        <v>174</v>
      </c>
      <c r="E67">
        <v>33468</v>
      </c>
      <c r="F67" s="2">
        <v>42463</v>
      </c>
      <c r="G67">
        <v>4</v>
      </c>
      <c r="H67" t="s">
        <v>180</v>
      </c>
      <c r="I67" t="s">
        <v>184</v>
      </c>
    </row>
    <row r="68" spans="1:9" x14ac:dyDescent="0.3">
      <c r="A68" t="s">
        <v>75</v>
      </c>
      <c r="B68" t="s">
        <v>163</v>
      </c>
      <c r="D68" t="s">
        <v>176</v>
      </c>
      <c r="E68">
        <v>96365</v>
      </c>
      <c r="F68" s="2">
        <v>42470</v>
      </c>
      <c r="G68">
        <v>3</v>
      </c>
      <c r="H68" t="s">
        <v>179</v>
      </c>
      <c r="I68" t="s">
        <v>184</v>
      </c>
    </row>
    <row r="69" spans="1:9" x14ac:dyDescent="0.3">
      <c r="A69" t="s">
        <v>76</v>
      </c>
      <c r="B69" t="s">
        <v>160</v>
      </c>
      <c r="C69" t="s">
        <v>168</v>
      </c>
      <c r="D69" t="s">
        <v>174</v>
      </c>
      <c r="E69">
        <v>61942</v>
      </c>
      <c r="F69" s="2">
        <v>42477</v>
      </c>
      <c r="G69">
        <v>3</v>
      </c>
      <c r="H69" t="s">
        <v>181</v>
      </c>
      <c r="I69" t="s">
        <v>184</v>
      </c>
    </row>
    <row r="70" spans="1:9" x14ac:dyDescent="0.3">
      <c r="A70" t="s">
        <v>77</v>
      </c>
      <c r="B70" t="s">
        <v>163</v>
      </c>
      <c r="C70" t="s">
        <v>166</v>
      </c>
      <c r="D70" t="s">
        <v>175</v>
      </c>
      <c r="E70">
        <v>41467</v>
      </c>
      <c r="F70" s="2">
        <v>42484</v>
      </c>
      <c r="G70">
        <v>2</v>
      </c>
      <c r="I70" t="s">
        <v>184</v>
      </c>
    </row>
    <row r="71" spans="1:9" x14ac:dyDescent="0.3">
      <c r="A71" t="s">
        <v>78</v>
      </c>
      <c r="B71" t="s">
        <v>165</v>
      </c>
      <c r="C71" t="s">
        <v>166</v>
      </c>
      <c r="D71" t="s">
        <v>174</v>
      </c>
      <c r="E71">
        <v>77096</v>
      </c>
      <c r="F71" s="2">
        <v>42491</v>
      </c>
      <c r="G71">
        <v>1</v>
      </c>
      <c r="I71" t="s">
        <v>184</v>
      </c>
    </row>
    <row r="72" spans="1:9" x14ac:dyDescent="0.3">
      <c r="A72" t="s">
        <v>79</v>
      </c>
      <c r="B72" t="s">
        <v>159</v>
      </c>
      <c r="C72" t="s">
        <v>168</v>
      </c>
      <c r="D72" t="s">
        <v>176</v>
      </c>
      <c r="E72">
        <v>69952</v>
      </c>
      <c r="F72" s="2">
        <v>42498</v>
      </c>
      <c r="G72">
        <v>5</v>
      </c>
      <c r="H72" t="s">
        <v>181</v>
      </c>
      <c r="I72" t="s">
        <v>184</v>
      </c>
    </row>
    <row r="73" spans="1:9" x14ac:dyDescent="0.3">
      <c r="A73" t="s">
        <v>80</v>
      </c>
      <c r="B73" t="s">
        <v>159</v>
      </c>
      <c r="C73" t="s">
        <v>170</v>
      </c>
      <c r="D73" t="s">
        <v>173</v>
      </c>
      <c r="E73">
        <v>85065</v>
      </c>
      <c r="F73" s="2">
        <v>42505</v>
      </c>
      <c r="G73">
        <v>3</v>
      </c>
      <c r="I73" t="s">
        <v>184</v>
      </c>
    </row>
    <row r="74" spans="1:9" x14ac:dyDescent="0.3">
      <c r="A74" t="s">
        <v>81</v>
      </c>
      <c r="B74" t="s">
        <v>165</v>
      </c>
      <c r="C74" t="s">
        <v>170</v>
      </c>
      <c r="D74" t="s">
        <v>174</v>
      </c>
      <c r="E74">
        <v>56512</v>
      </c>
      <c r="F74" s="2">
        <v>42512</v>
      </c>
      <c r="H74" t="s">
        <v>179</v>
      </c>
      <c r="I74" t="s">
        <v>184</v>
      </c>
    </row>
    <row r="75" spans="1:9" x14ac:dyDescent="0.3">
      <c r="A75" t="s">
        <v>82</v>
      </c>
      <c r="B75" t="s">
        <v>161</v>
      </c>
      <c r="C75" t="s">
        <v>168</v>
      </c>
      <c r="D75" t="s">
        <v>174</v>
      </c>
      <c r="E75">
        <v>91101</v>
      </c>
      <c r="F75" s="2">
        <v>42519</v>
      </c>
      <c r="G75">
        <v>4</v>
      </c>
      <c r="H75" t="s">
        <v>181</v>
      </c>
      <c r="I75" t="s">
        <v>184</v>
      </c>
    </row>
    <row r="76" spans="1:9" x14ac:dyDescent="0.3">
      <c r="A76" t="s">
        <v>83</v>
      </c>
      <c r="B76" t="s">
        <v>163</v>
      </c>
      <c r="D76" t="s">
        <v>172</v>
      </c>
      <c r="E76">
        <v>41243</v>
      </c>
      <c r="F76" s="2">
        <v>42526</v>
      </c>
      <c r="I76" t="s">
        <v>184</v>
      </c>
    </row>
    <row r="77" spans="1:9" x14ac:dyDescent="0.3">
      <c r="A77" t="s">
        <v>84</v>
      </c>
      <c r="C77" t="s">
        <v>168</v>
      </c>
      <c r="D77" t="s">
        <v>171</v>
      </c>
      <c r="E77">
        <v>96142</v>
      </c>
      <c r="F77" s="2">
        <v>42533</v>
      </c>
      <c r="G77">
        <v>1</v>
      </c>
      <c r="H77" t="s">
        <v>179</v>
      </c>
      <c r="I77" t="s">
        <v>184</v>
      </c>
    </row>
    <row r="78" spans="1:9" x14ac:dyDescent="0.3">
      <c r="A78" t="s">
        <v>85</v>
      </c>
      <c r="B78" t="s">
        <v>159</v>
      </c>
      <c r="C78" t="s">
        <v>169</v>
      </c>
      <c r="D78" t="s">
        <v>174</v>
      </c>
      <c r="E78">
        <v>94301</v>
      </c>
      <c r="F78" s="2">
        <v>42540</v>
      </c>
      <c r="G78">
        <v>1</v>
      </c>
      <c r="H78" t="s">
        <v>180</v>
      </c>
      <c r="I78" t="s">
        <v>184</v>
      </c>
    </row>
    <row r="79" spans="1:9" x14ac:dyDescent="0.3">
      <c r="A79" t="s">
        <v>86</v>
      </c>
      <c r="B79" t="s">
        <v>162</v>
      </c>
      <c r="D79" t="s">
        <v>175</v>
      </c>
      <c r="E79">
        <v>69166</v>
      </c>
      <c r="F79" s="2">
        <v>42547</v>
      </c>
      <c r="G79">
        <v>1</v>
      </c>
      <c r="H79" t="s">
        <v>181</v>
      </c>
      <c r="I79" t="s">
        <v>184</v>
      </c>
    </row>
    <row r="80" spans="1:9" x14ac:dyDescent="0.3">
      <c r="A80" t="s">
        <v>87</v>
      </c>
      <c r="B80" t="s">
        <v>163</v>
      </c>
      <c r="D80" t="s">
        <v>175</v>
      </c>
      <c r="E80">
        <v>78245</v>
      </c>
      <c r="F80" s="2">
        <v>42554</v>
      </c>
      <c r="G80">
        <v>2</v>
      </c>
      <c r="I80" t="s">
        <v>184</v>
      </c>
    </row>
    <row r="81" spans="1:9" x14ac:dyDescent="0.3">
      <c r="A81" t="s">
        <v>88</v>
      </c>
      <c r="B81" t="s">
        <v>164</v>
      </c>
      <c r="C81" t="s">
        <v>168</v>
      </c>
      <c r="D81" t="s">
        <v>173</v>
      </c>
      <c r="E81">
        <v>66079</v>
      </c>
      <c r="F81" s="2">
        <v>42561</v>
      </c>
      <c r="G81">
        <v>2</v>
      </c>
      <c r="H81" t="s">
        <v>179</v>
      </c>
      <c r="I81" t="s">
        <v>184</v>
      </c>
    </row>
    <row r="82" spans="1:9" x14ac:dyDescent="0.3">
      <c r="A82" t="s">
        <v>89</v>
      </c>
      <c r="B82" t="s">
        <v>159</v>
      </c>
      <c r="C82" t="s">
        <v>170</v>
      </c>
      <c r="D82" t="s">
        <v>174</v>
      </c>
      <c r="E82" t="s">
        <v>177</v>
      </c>
      <c r="I82" t="s">
        <v>184</v>
      </c>
    </row>
    <row r="83" spans="1:9" x14ac:dyDescent="0.3">
      <c r="A83" t="s">
        <v>90</v>
      </c>
      <c r="B83" t="s">
        <v>162</v>
      </c>
      <c r="C83" t="s">
        <v>168</v>
      </c>
      <c r="D83" t="s">
        <v>173</v>
      </c>
      <c r="E83">
        <v>95621</v>
      </c>
      <c r="F83" s="2">
        <v>42575</v>
      </c>
      <c r="G83">
        <v>3</v>
      </c>
      <c r="H83" t="s">
        <v>181</v>
      </c>
      <c r="I83" t="s">
        <v>184</v>
      </c>
    </row>
    <row r="84" spans="1:9" x14ac:dyDescent="0.3">
      <c r="A84" t="s">
        <v>91</v>
      </c>
      <c r="B84" t="s">
        <v>159</v>
      </c>
      <c r="C84" t="s">
        <v>169</v>
      </c>
      <c r="D84" t="s">
        <v>175</v>
      </c>
      <c r="E84">
        <v>42262</v>
      </c>
      <c r="F84" s="2">
        <v>42582</v>
      </c>
      <c r="G84">
        <v>1</v>
      </c>
      <c r="I84" t="s">
        <v>184</v>
      </c>
    </row>
    <row r="85" spans="1:9" x14ac:dyDescent="0.3">
      <c r="A85" t="s">
        <v>92</v>
      </c>
      <c r="B85" t="s">
        <v>163</v>
      </c>
      <c r="C85" t="s">
        <v>168</v>
      </c>
      <c r="D85" t="s">
        <v>174</v>
      </c>
      <c r="E85">
        <v>99621</v>
      </c>
      <c r="F85" s="2">
        <v>42589</v>
      </c>
      <c r="H85" t="s">
        <v>179</v>
      </c>
      <c r="I85" t="s">
        <v>184</v>
      </c>
    </row>
    <row r="86" spans="1:9" x14ac:dyDescent="0.3">
      <c r="A86" t="s">
        <v>93</v>
      </c>
      <c r="B86" t="s">
        <v>161</v>
      </c>
      <c r="C86" t="s">
        <v>170</v>
      </c>
      <c r="D86" t="s">
        <v>174</v>
      </c>
      <c r="E86">
        <v>44682</v>
      </c>
      <c r="F86" s="2">
        <v>42596</v>
      </c>
      <c r="G86">
        <v>4</v>
      </c>
      <c r="H86" t="s">
        <v>181</v>
      </c>
      <c r="I86" t="s">
        <v>184</v>
      </c>
    </row>
    <row r="87" spans="1:9" x14ac:dyDescent="0.3">
      <c r="A87" t="s">
        <v>94</v>
      </c>
      <c r="B87" t="s">
        <v>164</v>
      </c>
      <c r="C87" t="s">
        <v>166</v>
      </c>
      <c r="E87">
        <v>35163</v>
      </c>
      <c r="F87" s="2">
        <v>42603</v>
      </c>
      <c r="G87">
        <v>5</v>
      </c>
      <c r="H87" t="s">
        <v>179</v>
      </c>
      <c r="I87" t="s">
        <v>184</v>
      </c>
    </row>
    <row r="88" spans="1:9" x14ac:dyDescent="0.3">
      <c r="A88" t="s">
        <v>95</v>
      </c>
      <c r="B88" t="s">
        <v>164</v>
      </c>
      <c r="C88" t="s">
        <v>169</v>
      </c>
      <c r="D88" t="s">
        <v>174</v>
      </c>
      <c r="E88">
        <v>33483</v>
      </c>
      <c r="F88" s="2">
        <v>42610</v>
      </c>
      <c r="G88">
        <v>4</v>
      </c>
      <c r="H88" t="s">
        <v>180</v>
      </c>
      <c r="I88" t="s">
        <v>184</v>
      </c>
    </row>
    <row r="89" spans="1:9" x14ac:dyDescent="0.3">
      <c r="A89" t="s">
        <v>96</v>
      </c>
      <c r="B89" t="s">
        <v>163</v>
      </c>
      <c r="C89" t="s">
        <v>167</v>
      </c>
      <c r="D89" t="s">
        <v>172</v>
      </c>
      <c r="E89">
        <v>55303</v>
      </c>
      <c r="F89" s="2">
        <v>42617</v>
      </c>
      <c r="G89">
        <v>4</v>
      </c>
      <c r="H89" t="s">
        <v>180</v>
      </c>
      <c r="I89" t="s">
        <v>184</v>
      </c>
    </row>
    <row r="90" spans="1:9" x14ac:dyDescent="0.3">
      <c r="A90" t="s">
        <v>97</v>
      </c>
      <c r="B90" t="s">
        <v>164</v>
      </c>
      <c r="C90" t="s">
        <v>169</v>
      </c>
      <c r="E90">
        <v>63434</v>
      </c>
      <c r="F90" s="2">
        <v>42624</v>
      </c>
      <c r="G90">
        <v>3</v>
      </c>
      <c r="I90" t="s">
        <v>184</v>
      </c>
    </row>
    <row r="91" spans="1:9" x14ac:dyDescent="0.3">
      <c r="A91" t="s">
        <v>98</v>
      </c>
      <c r="B91" t="s">
        <v>162</v>
      </c>
      <c r="D91" t="s">
        <v>176</v>
      </c>
      <c r="E91">
        <v>38830</v>
      </c>
      <c r="F91" s="2">
        <v>42631</v>
      </c>
      <c r="G91">
        <v>3</v>
      </c>
      <c r="H91" t="s">
        <v>179</v>
      </c>
      <c r="I91" t="s">
        <v>184</v>
      </c>
    </row>
    <row r="92" spans="1:9" x14ac:dyDescent="0.3">
      <c r="A92" t="s">
        <v>99</v>
      </c>
      <c r="C92" t="s">
        <v>170</v>
      </c>
      <c r="D92" t="s">
        <v>175</v>
      </c>
      <c r="E92">
        <v>50741</v>
      </c>
      <c r="F92" s="2">
        <v>42638</v>
      </c>
      <c r="G92">
        <v>3</v>
      </c>
      <c r="H92" t="s">
        <v>178</v>
      </c>
      <c r="I92" t="s">
        <v>184</v>
      </c>
    </row>
    <row r="93" spans="1:9" x14ac:dyDescent="0.3">
      <c r="A93" t="s">
        <v>100</v>
      </c>
      <c r="B93" t="s">
        <v>160</v>
      </c>
      <c r="C93" t="s">
        <v>167</v>
      </c>
      <c r="D93" t="s">
        <v>176</v>
      </c>
      <c r="E93">
        <v>69420</v>
      </c>
      <c r="F93" s="2">
        <v>42645</v>
      </c>
      <c r="G93">
        <v>1</v>
      </c>
      <c r="H93" t="s">
        <v>180</v>
      </c>
      <c r="I93" t="s">
        <v>184</v>
      </c>
    </row>
    <row r="94" spans="1:9" x14ac:dyDescent="0.3">
      <c r="A94" t="s">
        <v>101</v>
      </c>
      <c r="B94" t="s">
        <v>162</v>
      </c>
      <c r="C94" t="s">
        <v>169</v>
      </c>
      <c r="E94">
        <v>80588</v>
      </c>
      <c r="F94" s="2">
        <v>42652</v>
      </c>
      <c r="G94">
        <v>5</v>
      </c>
      <c r="H94" t="s">
        <v>180</v>
      </c>
      <c r="I94" t="s">
        <v>184</v>
      </c>
    </row>
    <row r="95" spans="1:9" x14ac:dyDescent="0.3">
      <c r="A95" t="s">
        <v>102</v>
      </c>
      <c r="B95" t="s">
        <v>160</v>
      </c>
      <c r="D95" t="s">
        <v>173</v>
      </c>
      <c r="E95">
        <v>76238</v>
      </c>
      <c r="F95" s="2">
        <v>42659</v>
      </c>
      <c r="G95">
        <v>4</v>
      </c>
      <c r="H95" t="s">
        <v>180</v>
      </c>
      <c r="I95" t="s">
        <v>184</v>
      </c>
    </row>
    <row r="96" spans="1:9" x14ac:dyDescent="0.3">
      <c r="A96" t="s">
        <v>103</v>
      </c>
      <c r="B96" t="s">
        <v>165</v>
      </c>
      <c r="C96" t="s">
        <v>169</v>
      </c>
      <c r="D96" t="s">
        <v>174</v>
      </c>
      <c r="E96">
        <v>33264</v>
      </c>
      <c r="F96" s="2">
        <v>42666</v>
      </c>
      <c r="H96" t="s">
        <v>181</v>
      </c>
      <c r="I96" t="s">
        <v>184</v>
      </c>
    </row>
    <row r="97" spans="1:9" x14ac:dyDescent="0.3">
      <c r="A97" t="s">
        <v>104</v>
      </c>
      <c r="B97" t="s">
        <v>160</v>
      </c>
      <c r="C97" t="s">
        <v>166</v>
      </c>
      <c r="D97" t="s">
        <v>176</v>
      </c>
      <c r="E97">
        <v>96101</v>
      </c>
      <c r="F97" s="2">
        <v>42673</v>
      </c>
      <c r="H97" t="s">
        <v>179</v>
      </c>
      <c r="I97" t="s">
        <v>184</v>
      </c>
    </row>
    <row r="98" spans="1:9" x14ac:dyDescent="0.3">
      <c r="A98" t="s">
        <v>105</v>
      </c>
      <c r="B98" t="s">
        <v>162</v>
      </c>
      <c r="C98" t="s">
        <v>166</v>
      </c>
      <c r="D98" t="s">
        <v>173</v>
      </c>
      <c r="E98">
        <v>72939</v>
      </c>
      <c r="F98" s="2">
        <v>42680</v>
      </c>
      <c r="G98">
        <v>3</v>
      </c>
      <c r="I98" t="s">
        <v>184</v>
      </c>
    </row>
    <row r="99" spans="1:9" x14ac:dyDescent="0.3">
      <c r="A99" t="s">
        <v>106</v>
      </c>
      <c r="B99" t="s">
        <v>163</v>
      </c>
      <c r="C99" t="s">
        <v>167</v>
      </c>
      <c r="D99" t="s">
        <v>172</v>
      </c>
      <c r="E99">
        <v>89333</v>
      </c>
      <c r="F99" s="2">
        <v>42687</v>
      </c>
      <c r="G99">
        <v>1</v>
      </c>
      <c r="H99" t="s">
        <v>180</v>
      </c>
      <c r="I99" t="s">
        <v>184</v>
      </c>
    </row>
    <row r="100" spans="1:9" x14ac:dyDescent="0.3">
      <c r="A100" t="s">
        <v>107</v>
      </c>
      <c r="B100" t="s">
        <v>165</v>
      </c>
      <c r="C100" t="s">
        <v>169</v>
      </c>
      <c r="D100" t="s">
        <v>176</v>
      </c>
      <c r="E100">
        <v>70470</v>
      </c>
      <c r="F100" s="2">
        <v>42694</v>
      </c>
      <c r="H100" t="s">
        <v>180</v>
      </c>
      <c r="I100" t="s">
        <v>184</v>
      </c>
    </row>
    <row r="101" spans="1:9" x14ac:dyDescent="0.3">
      <c r="A101" t="s">
        <v>108</v>
      </c>
      <c r="B101" t="s">
        <v>159</v>
      </c>
      <c r="C101" t="s">
        <v>170</v>
      </c>
      <c r="D101" t="s">
        <v>173</v>
      </c>
      <c r="E101">
        <v>70096</v>
      </c>
      <c r="F101" s="2">
        <v>42701</v>
      </c>
      <c r="G101">
        <v>4</v>
      </c>
      <c r="H101" t="s">
        <v>180</v>
      </c>
      <c r="I101" t="s">
        <v>184</v>
      </c>
    </row>
    <row r="102" spans="1:9" x14ac:dyDescent="0.3">
      <c r="A102" t="s">
        <v>109</v>
      </c>
      <c r="B102" t="s">
        <v>165</v>
      </c>
      <c r="C102" t="s">
        <v>170</v>
      </c>
      <c r="D102" t="s">
        <v>171</v>
      </c>
      <c r="E102" t="s">
        <v>177</v>
      </c>
      <c r="F102" s="2">
        <v>42708</v>
      </c>
      <c r="G102">
        <v>2</v>
      </c>
      <c r="H102" t="s">
        <v>179</v>
      </c>
      <c r="I102" t="s">
        <v>184</v>
      </c>
    </row>
    <row r="103" spans="1:9" x14ac:dyDescent="0.3">
      <c r="A103" t="s">
        <v>110</v>
      </c>
      <c r="B103" t="s">
        <v>165</v>
      </c>
      <c r="C103" t="s">
        <v>169</v>
      </c>
      <c r="D103" t="s">
        <v>172</v>
      </c>
      <c r="E103">
        <v>66503</v>
      </c>
      <c r="F103" s="2">
        <v>42715</v>
      </c>
      <c r="H103" t="s">
        <v>180</v>
      </c>
      <c r="I103" t="s">
        <v>184</v>
      </c>
    </row>
    <row r="104" spans="1:9" x14ac:dyDescent="0.3">
      <c r="A104" t="s">
        <v>111</v>
      </c>
      <c r="B104" t="s">
        <v>160</v>
      </c>
      <c r="C104" t="s">
        <v>167</v>
      </c>
      <c r="D104" t="s">
        <v>172</v>
      </c>
      <c r="E104">
        <v>42096</v>
      </c>
      <c r="F104" s="2">
        <v>42722</v>
      </c>
      <c r="H104" t="s">
        <v>181</v>
      </c>
      <c r="I104" t="s">
        <v>184</v>
      </c>
    </row>
    <row r="105" spans="1:9" x14ac:dyDescent="0.3">
      <c r="A105" t="s">
        <v>112</v>
      </c>
      <c r="B105" t="s">
        <v>160</v>
      </c>
      <c r="C105" t="s">
        <v>170</v>
      </c>
      <c r="E105">
        <v>79145</v>
      </c>
      <c r="F105" s="2">
        <v>42729</v>
      </c>
      <c r="G105">
        <v>5</v>
      </c>
      <c r="H105" t="s">
        <v>179</v>
      </c>
      <c r="I105" t="s">
        <v>184</v>
      </c>
    </row>
    <row r="106" spans="1:9" x14ac:dyDescent="0.3">
      <c r="A106" t="s">
        <v>113</v>
      </c>
      <c r="B106" t="s">
        <v>162</v>
      </c>
      <c r="D106" t="s">
        <v>176</v>
      </c>
      <c r="E106">
        <v>61556</v>
      </c>
      <c r="F106" s="2">
        <v>42736</v>
      </c>
      <c r="G106">
        <v>1</v>
      </c>
      <c r="I106" t="s">
        <v>184</v>
      </c>
    </row>
    <row r="107" spans="1:9" x14ac:dyDescent="0.3">
      <c r="A107" t="s">
        <v>114</v>
      </c>
      <c r="C107" t="s">
        <v>167</v>
      </c>
      <c r="D107" t="s">
        <v>175</v>
      </c>
      <c r="E107">
        <v>87963</v>
      </c>
      <c r="F107" s="2">
        <v>42743</v>
      </c>
      <c r="G107">
        <v>3</v>
      </c>
      <c r="H107" t="s">
        <v>179</v>
      </c>
      <c r="I107" t="s">
        <v>184</v>
      </c>
    </row>
    <row r="108" spans="1:9" x14ac:dyDescent="0.3">
      <c r="A108" t="s">
        <v>115</v>
      </c>
      <c r="B108" t="s">
        <v>159</v>
      </c>
      <c r="C108" t="s">
        <v>169</v>
      </c>
      <c r="E108">
        <v>48325</v>
      </c>
      <c r="F108" s="2">
        <v>42750</v>
      </c>
      <c r="H108" t="s">
        <v>180</v>
      </c>
      <c r="I108" t="s">
        <v>184</v>
      </c>
    </row>
    <row r="109" spans="1:9" x14ac:dyDescent="0.3">
      <c r="A109" t="s">
        <v>116</v>
      </c>
      <c r="B109" t="s">
        <v>163</v>
      </c>
      <c r="C109" t="s">
        <v>170</v>
      </c>
      <c r="D109" t="s">
        <v>176</v>
      </c>
      <c r="E109">
        <v>86412</v>
      </c>
      <c r="F109" s="2">
        <v>42757</v>
      </c>
      <c r="G109">
        <v>2</v>
      </c>
      <c r="H109" t="s">
        <v>181</v>
      </c>
      <c r="I109" t="s">
        <v>184</v>
      </c>
    </row>
    <row r="110" spans="1:9" x14ac:dyDescent="0.3">
      <c r="A110" t="s">
        <v>117</v>
      </c>
      <c r="B110" t="s">
        <v>163</v>
      </c>
      <c r="C110" t="s">
        <v>167</v>
      </c>
      <c r="E110">
        <v>66761</v>
      </c>
      <c r="F110" s="2">
        <v>42764</v>
      </c>
      <c r="G110">
        <v>1</v>
      </c>
      <c r="I110" t="s">
        <v>184</v>
      </c>
    </row>
    <row r="111" spans="1:9" x14ac:dyDescent="0.3">
      <c r="A111" t="s">
        <v>118</v>
      </c>
      <c r="B111" t="s">
        <v>162</v>
      </c>
      <c r="D111" t="s">
        <v>174</v>
      </c>
      <c r="E111">
        <v>88850</v>
      </c>
      <c r="F111" s="2">
        <v>42771</v>
      </c>
      <c r="G111">
        <v>1</v>
      </c>
      <c r="H111" t="s">
        <v>181</v>
      </c>
      <c r="I111" t="s">
        <v>184</v>
      </c>
    </row>
    <row r="112" spans="1:9" x14ac:dyDescent="0.3">
      <c r="A112" t="s">
        <v>119</v>
      </c>
      <c r="B112" t="s">
        <v>164</v>
      </c>
      <c r="C112" t="s">
        <v>168</v>
      </c>
      <c r="D112" t="s">
        <v>174</v>
      </c>
      <c r="E112">
        <v>31293</v>
      </c>
      <c r="G112">
        <v>2</v>
      </c>
      <c r="H112" t="s">
        <v>181</v>
      </c>
      <c r="I112" t="s">
        <v>184</v>
      </c>
    </row>
    <row r="113" spans="1:9" x14ac:dyDescent="0.3">
      <c r="A113" t="s">
        <v>120</v>
      </c>
      <c r="B113" t="s">
        <v>164</v>
      </c>
      <c r="C113" t="s">
        <v>169</v>
      </c>
      <c r="D113" t="s">
        <v>173</v>
      </c>
      <c r="E113">
        <v>34306</v>
      </c>
      <c r="F113" s="2">
        <v>42785</v>
      </c>
      <c r="G113">
        <v>5</v>
      </c>
      <c r="H113" t="s">
        <v>181</v>
      </c>
      <c r="I113" t="s">
        <v>184</v>
      </c>
    </row>
    <row r="114" spans="1:9" x14ac:dyDescent="0.3">
      <c r="A114" t="s">
        <v>121</v>
      </c>
      <c r="B114" t="s">
        <v>159</v>
      </c>
      <c r="C114" t="s">
        <v>166</v>
      </c>
      <c r="D114" t="s">
        <v>174</v>
      </c>
      <c r="E114">
        <v>78330</v>
      </c>
      <c r="F114" s="2">
        <v>42792</v>
      </c>
      <c r="H114" t="s">
        <v>179</v>
      </c>
      <c r="I114" t="s">
        <v>184</v>
      </c>
    </row>
    <row r="115" spans="1:9" x14ac:dyDescent="0.3">
      <c r="A115" t="s">
        <v>122</v>
      </c>
      <c r="B115" t="s">
        <v>160</v>
      </c>
      <c r="C115" t="s">
        <v>169</v>
      </c>
      <c r="D115" t="s">
        <v>173</v>
      </c>
      <c r="E115">
        <v>47653</v>
      </c>
      <c r="F115" s="2">
        <v>42799</v>
      </c>
      <c r="G115">
        <v>1</v>
      </c>
      <c r="H115" t="s">
        <v>180</v>
      </c>
      <c r="I115" t="s">
        <v>184</v>
      </c>
    </row>
    <row r="116" spans="1:9" x14ac:dyDescent="0.3">
      <c r="A116" t="s">
        <v>123</v>
      </c>
      <c r="B116" t="s">
        <v>159</v>
      </c>
      <c r="C116" t="s">
        <v>170</v>
      </c>
      <c r="D116" t="s">
        <v>175</v>
      </c>
      <c r="E116">
        <v>44627</v>
      </c>
      <c r="F116" s="2">
        <v>42806</v>
      </c>
      <c r="G116">
        <v>4</v>
      </c>
      <c r="I116" t="s">
        <v>184</v>
      </c>
    </row>
    <row r="117" spans="1:9" x14ac:dyDescent="0.3">
      <c r="A117" t="s">
        <v>124</v>
      </c>
      <c r="B117" t="s">
        <v>165</v>
      </c>
      <c r="C117" t="s">
        <v>167</v>
      </c>
      <c r="D117" t="s">
        <v>172</v>
      </c>
      <c r="E117">
        <v>92343</v>
      </c>
      <c r="F117" s="2">
        <v>42813</v>
      </c>
      <c r="G117">
        <v>4</v>
      </c>
      <c r="H117" t="s">
        <v>181</v>
      </c>
      <c r="I117" t="s">
        <v>184</v>
      </c>
    </row>
    <row r="118" spans="1:9" x14ac:dyDescent="0.3">
      <c r="A118" t="s">
        <v>125</v>
      </c>
      <c r="B118" t="s">
        <v>165</v>
      </c>
      <c r="C118" t="s">
        <v>170</v>
      </c>
      <c r="D118" t="s">
        <v>176</v>
      </c>
      <c r="E118">
        <v>38837</v>
      </c>
      <c r="F118" s="2">
        <v>42820</v>
      </c>
      <c r="G118">
        <v>5</v>
      </c>
      <c r="H118" t="s">
        <v>181</v>
      </c>
      <c r="I118" t="s">
        <v>184</v>
      </c>
    </row>
    <row r="119" spans="1:9" x14ac:dyDescent="0.3">
      <c r="A119" t="s">
        <v>126</v>
      </c>
      <c r="B119" t="s">
        <v>165</v>
      </c>
      <c r="C119" t="s">
        <v>170</v>
      </c>
      <c r="E119">
        <v>73483</v>
      </c>
      <c r="F119" s="2">
        <v>42827</v>
      </c>
      <c r="G119">
        <v>1</v>
      </c>
      <c r="I119" t="s">
        <v>184</v>
      </c>
    </row>
    <row r="120" spans="1:9" x14ac:dyDescent="0.3">
      <c r="A120" t="s">
        <v>127</v>
      </c>
      <c r="B120" t="s">
        <v>164</v>
      </c>
      <c r="C120" t="s">
        <v>168</v>
      </c>
      <c r="D120" t="s">
        <v>174</v>
      </c>
      <c r="E120">
        <v>95032</v>
      </c>
      <c r="F120" s="2">
        <v>42834</v>
      </c>
      <c r="G120">
        <v>3</v>
      </c>
      <c r="I120" t="s">
        <v>184</v>
      </c>
    </row>
    <row r="121" spans="1:9" x14ac:dyDescent="0.3">
      <c r="A121" t="s">
        <v>128</v>
      </c>
      <c r="B121" t="s">
        <v>159</v>
      </c>
      <c r="C121" t="s">
        <v>168</v>
      </c>
      <c r="D121" t="s">
        <v>176</v>
      </c>
      <c r="E121">
        <v>44358</v>
      </c>
      <c r="F121" s="2">
        <v>42841</v>
      </c>
      <c r="H121" t="s">
        <v>181</v>
      </c>
      <c r="I121" t="s">
        <v>184</v>
      </c>
    </row>
    <row r="122" spans="1:9" x14ac:dyDescent="0.3">
      <c r="A122" t="s">
        <v>129</v>
      </c>
      <c r="C122" t="s">
        <v>169</v>
      </c>
      <c r="D122" t="s">
        <v>173</v>
      </c>
      <c r="E122" t="s">
        <v>177</v>
      </c>
      <c r="G122">
        <v>5</v>
      </c>
      <c r="H122" t="s">
        <v>178</v>
      </c>
      <c r="I122" t="s">
        <v>184</v>
      </c>
    </row>
    <row r="123" spans="1:9" x14ac:dyDescent="0.3">
      <c r="A123" t="s">
        <v>130</v>
      </c>
      <c r="B123" t="s">
        <v>164</v>
      </c>
      <c r="C123" t="s">
        <v>168</v>
      </c>
      <c r="D123" t="s">
        <v>173</v>
      </c>
      <c r="E123">
        <v>45676</v>
      </c>
      <c r="F123" s="2">
        <v>42855</v>
      </c>
      <c r="G123">
        <v>2</v>
      </c>
      <c r="I123" t="s">
        <v>184</v>
      </c>
    </row>
    <row r="124" spans="1:9" x14ac:dyDescent="0.3">
      <c r="A124" t="s">
        <v>131</v>
      </c>
      <c r="B124" t="s">
        <v>165</v>
      </c>
      <c r="C124" t="s">
        <v>168</v>
      </c>
      <c r="D124" t="s">
        <v>172</v>
      </c>
      <c r="E124">
        <v>52036</v>
      </c>
      <c r="F124" s="2">
        <v>42862</v>
      </c>
      <c r="G124">
        <v>3</v>
      </c>
      <c r="H124" t="s">
        <v>180</v>
      </c>
      <c r="I124" t="s">
        <v>184</v>
      </c>
    </row>
    <row r="125" spans="1:9" x14ac:dyDescent="0.3">
      <c r="A125" t="s">
        <v>132</v>
      </c>
      <c r="B125" t="s">
        <v>162</v>
      </c>
      <c r="D125" t="s">
        <v>172</v>
      </c>
      <c r="E125">
        <v>30357</v>
      </c>
      <c r="F125" s="2">
        <v>42869</v>
      </c>
      <c r="G125">
        <v>5</v>
      </c>
      <c r="H125" t="s">
        <v>180</v>
      </c>
      <c r="I125" t="s">
        <v>184</v>
      </c>
    </row>
    <row r="126" spans="1:9" x14ac:dyDescent="0.3">
      <c r="A126" t="s">
        <v>133</v>
      </c>
      <c r="B126" t="s">
        <v>161</v>
      </c>
      <c r="C126" t="s">
        <v>169</v>
      </c>
      <c r="E126">
        <v>60034</v>
      </c>
      <c r="F126" s="2">
        <v>42876</v>
      </c>
      <c r="G126">
        <v>1</v>
      </c>
      <c r="H126" t="s">
        <v>181</v>
      </c>
      <c r="I126" t="s">
        <v>184</v>
      </c>
    </row>
    <row r="127" spans="1:9" x14ac:dyDescent="0.3">
      <c r="A127" t="s">
        <v>134</v>
      </c>
      <c r="B127" t="s">
        <v>161</v>
      </c>
      <c r="C127" t="s">
        <v>166</v>
      </c>
      <c r="D127" t="s">
        <v>171</v>
      </c>
      <c r="E127">
        <v>90019</v>
      </c>
      <c r="F127" s="2">
        <v>42883</v>
      </c>
      <c r="G127">
        <v>5</v>
      </c>
      <c r="I127" t="s">
        <v>184</v>
      </c>
    </row>
    <row r="128" spans="1:9" x14ac:dyDescent="0.3">
      <c r="A128" t="s">
        <v>135</v>
      </c>
      <c r="B128" t="s">
        <v>165</v>
      </c>
      <c r="D128" t="s">
        <v>172</v>
      </c>
      <c r="E128">
        <v>71494</v>
      </c>
      <c r="F128" s="2">
        <v>42890</v>
      </c>
      <c r="G128">
        <v>3</v>
      </c>
      <c r="H128" t="s">
        <v>180</v>
      </c>
      <c r="I128" t="s">
        <v>184</v>
      </c>
    </row>
    <row r="129" spans="1:9" x14ac:dyDescent="0.3">
      <c r="A129" t="s">
        <v>136</v>
      </c>
      <c r="B129" t="s">
        <v>161</v>
      </c>
      <c r="C129" t="s">
        <v>166</v>
      </c>
      <c r="D129" t="s">
        <v>173</v>
      </c>
      <c r="E129">
        <v>91953</v>
      </c>
      <c r="F129" s="2">
        <v>42897</v>
      </c>
      <c r="G129">
        <v>2</v>
      </c>
      <c r="H129" t="s">
        <v>180</v>
      </c>
      <c r="I129" t="s">
        <v>184</v>
      </c>
    </row>
    <row r="130" spans="1:9" x14ac:dyDescent="0.3">
      <c r="A130" t="s">
        <v>137</v>
      </c>
      <c r="B130" t="s">
        <v>164</v>
      </c>
      <c r="C130" t="s">
        <v>168</v>
      </c>
      <c r="D130" t="s">
        <v>173</v>
      </c>
      <c r="E130">
        <v>30402</v>
      </c>
      <c r="F130" s="2">
        <v>42904</v>
      </c>
      <c r="G130">
        <v>1</v>
      </c>
      <c r="I130" t="s">
        <v>184</v>
      </c>
    </row>
    <row r="131" spans="1:9" x14ac:dyDescent="0.3">
      <c r="A131" t="s">
        <v>138</v>
      </c>
      <c r="B131" t="s">
        <v>165</v>
      </c>
      <c r="D131" t="s">
        <v>175</v>
      </c>
      <c r="E131">
        <v>62994</v>
      </c>
      <c r="F131" s="2">
        <v>42911</v>
      </c>
      <c r="I131" t="s">
        <v>184</v>
      </c>
    </row>
    <row r="132" spans="1:9" x14ac:dyDescent="0.3">
      <c r="A132" t="s">
        <v>139</v>
      </c>
      <c r="B132" t="s">
        <v>160</v>
      </c>
      <c r="C132" t="s">
        <v>168</v>
      </c>
      <c r="D132" t="s">
        <v>174</v>
      </c>
      <c r="E132">
        <v>48289</v>
      </c>
      <c r="G132">
        <v>3</v>
      </c>
      <c r="H132" t="s">
        <v>180</v>
      </c>
      <c r="I132" t="s">
        <v>184</v>
      </c>
    </row>
    <row r="133" spans="1:9" x14ac:dyDescent="0.3">
      <c r="A133" t="s">
        <v>140</v>
      </c>
      <c r="B133" t="s">
        <v>163</v>
      </c>
      <c r="C133" t="s">
        <v>170</v>
      </c>
      <c r="D133" t="s">
        <v>172</v>
      </c>
      <c r="E133">
        <v>34402</v>
      </c>
      <c r="F133" s="2">
        <v>42925</v>
      </c>
      <c r="G133">
        <v>3</v>
      </c>
      <c r="H133" t="s">
        <v>179</v>
      </c>
      <c r="I133" t="s">
        <v>184</v>
      </c>
    </row>
    <row r="134" spans="1:9" x14ac:dyDescent="0.3">
      <c r="A134" t="s">
        <v>141</v>
      </c>
      <c r="B134" t="s">
        <v>159</v>
      </c>
      <c r="C134" t="s">
        <v>167</v>
      </c>
      <c r="D134" t="s">
        <v>173</v>
      </c>
      <c r="E134">
        <v>38678</v>
      </c>
      <c r="F134" s="2">
        <v>42932</v>
      </c>
      <c r="G134">
        <v>3</v>
      </c>
      <c r="H134" t="s">
        <v>179</v>
      </c>
      <c r="I134" t="s">
        <v>184</v>
      </c>
    </row>
    <row r="135" spans="1:9" x14ac:dyDescent="0.3">
      <c r="A135" t="s">
        <v>142</v>
      </c>
      <c r="B135" t="s">
        <v>164</v>
      </c>
      <c r="C135" t="s">
        <v>167</v>
      </c>
      <c r="D135" t="s">
        <v>172</v>
      </c>
      <c r="E135">
        <v>45758</v>
      </c>
      <c r="F135" s="2">
        <v>42939</v>
      </c>
      <c r="G135">
        <v>3</v>
      </c>
      <c r="I135" t="s">
        <v>184</v>
      </c>
    </row>
    <row r="136" spans="1:9" x14ac:dyDescent="0.3">
      <c r="A136" t="s">
        <v>143</v>
      </c>
      <c r="B136" t="s">
        <v>159</v>
      </c>
      <c r="C136" t="s">
        <v>170</v>
      </c>
      <c r="D136" t="s">
        <v>174</v>
      </c>
      <c r="E136">
        <v>62476</v>
      </c>
      <c r="F136" s="2">
        <v>42946</v>
      </c>
      <c r="G136">
        <v>1</v>
      </c>
      <c r="H136" t="s">
        <v>179</v>
      </c>
      <c r="I136" t="s">
        <v>184</v>
      </c>
    </row>
    <row r="137" spans="1:9" x14ac:dyDescent="0.3">
      <c r="A137" t="s">
        <v>144</v>
      </c>
      <c r="C137" t="s">
        <v>169</v>
      </c>
      <c r="D137" t="s">
        <v>175</v>
      </c>
      <c r="E137">
        <v>39280</v>
      </c>
      <c r="F137" s="2">
        <v>42953</v>
      </c>
      <c r="G137">
        <v>3</v>
      </c>
      <c r="H137" t="s">
        <v>181</v>
      </c>
      <c r="I137" t="s">
        <v>184</v>
      </c>
    </row>
    <row r="138" spans="1:9" x14ac:dyDescent="0.3">
      <c r="A138" t="s">
        <v>145</v>
      </c>
      <c r="B138" t="s">
        <v>162</v>
      </c>
      <c r="C138" t="s">
        <v>166</v>
      </c>
      <c r="D138" t="s">
        <v>174</v>
      </c>
      <c r="E138">
        <v>60335</v>
      </c>
      <c r="F138" s="2">
        <v>42960</v>
      </c>
      <c r="G138">
        <v>4</v>
      </c>
      <c r="H138" t="s">
        <v>179</v>
      </c>
      <c r="I138" t="s">
        <v>184</v>
      </c>
    </row>
    <row r="139" spans="1:9" x14ac:dyDescent="0.3">
      <c r="A139" t="s">
        <v>146</v>
      </c>
      <c r="B139" t="s">
        <v>164</v>
      </c>
      <c r="C139" t="s">
        <v>167</v>
      </c>
      <c r="D139" t="s">
        <v>172</v>
      </c>
      <c r="E139">
        <v>84968</v>
      </c>
      <c r="F139" s="2">
        <v>42967</v>
      </c>
      <c r="I139" t="s">
        <v>184</v>
      </c>
    </row>
    <row r="140" spans="1:9" x14ac:dyDescent="0.3">
      <c r="A140" t="s">
        <v>147</v>
      </c>
      <c r="B140" t="s">
        <v>164</v>
      </c>
      <c r="C140" t="s">
        <v>170</v>
      </c>
      <c r="D140" t="s">
        <v>176</v>
      </c>
      <c r="E140">
        <v>84750</v>
      </c>
      <c r="F140" s="2">
        <v>42974</v>
      </c>
      <c r="G140">
        <v>4</v>
      </c>
      <c r="H140" t="s">
        <v>181</v>
      </c>
      <c r="I140" t="s">
        <v>184</v>
      </c>
    </row>
    <row r="141" spans="1:9" x14ac:dyDescent="0.3">
      <c r="A141" t="s">
        <v>148</v>
      </c>
      <c r="B141" t="s">
        <v>165</v>
      </c>
      <c r="C141" t="s">
        <v>169</v>
      </c>
      <c r="E141">
        <v>73348</v>
      </c>
      <c r="F141" s="2">
        <v>42981</v>
      </c>
      <c r="G141">
        <v>2</v>
      </c>
      <c r="I141" t="s">
        <v>184</v>
      </c>
    </row>
    <row r="142" spans="1:9" x14ac:dyDescent="0.3">
      <c r="A142" t="s">
        <v>149</v>
      </c>
      <c r="B142" t="s">
        <v>164</v>
      </c>
      <c r="C142" t="s">
        <v>168</v>
      </c>
      <c r="D142" t="s">
        <v>173</v>
      </c>
      <c r="E142" t="s">
        <v>177</v>
      </c>
      <c r="F142" s="2">
        <v>42988</v>
      </c>
      <c r="G142">
        <v>4</v>
      </c>
      <c r="H142" t="s">
        <v>179</v>
      </c>
      <c r="I142" t="s">
        <v>184</v>
      </c>
    </row>
    <row r="143" spans="1:9" x14ac:dyDescent="0.3">
      <c r="A143" t="s">
        <v>150</v>
      </c>
      <c r="B143" t="s">
        <v>162</v>
      </c>
      <c r="C143" t="s">
        <v>170</v>
      </c>
      <c r="D143" t="s">
        <v>173</v>
      </c>
      <c r="E143">
        <v>66882</v>
      </c>
      <c r="F143" s="2">
        <v>42995</v>
      </c>
      <c r="G143">
        <v>5</v>
      </c>
      <c r="H143" t="s">
        <v>179</v>
      </c>
      <c r="I143" t="s">
        <v>184</v>
      </c>
    </row>
    <row r="144" spans="1:9" x14ac:dyDescent="0.3">
      <c r="A144" t="s">
        <v>151</v>
      </c>
      <c r="B144" t="s">
        <v>160</v>
      </c>
      <c r="C144" t="s">
        <v>170</v>
      </c>
      <c r="E144">
        <v>86775</v>
      </c>
      <c r="F144" s="2">
        <v>43002</v>
      </c>
      <c r="G144">
        <v>3</v>
      </c>
      <c r="H144" t="s">
        <v>179</v>
      </c>
      <c r="I144" t="s">
        <v>184</v>
      </c>
    </row>
    <row r="145" spans="1:9" x14ac:dyDescent="0.3">
      <c r="A145" t="s">
        <v>152</v>
      </c>
      <c r="B145" t="s">
        <v>164</v>
      </c>
      <c r="C145" t="s">
        <v>168</v>
      </c>
      <c r="D145" t="s">
        <v>175</v>
      </c>
      <c r="E145">
        <v>91620</v>
      </c>
      <c r="F145" s="2">
        <v>43009</v>
      </c>
      <c r="I145" t="s">
        <v>184</v>
      </c>
    </row>
    <row r="146" spans="1:9" x14ac:dyDescent="0.3">
      <c r="A146" t="s">
        <v>153</v>
      </c>
      <c r="B146" t="s">
        <v>159</v>
      </c>
      <c r="E146">
        <v>94148</v>
      </c>
      <c r="F146" s="2">
        <v>43016</v>
      </c>
      <c r="G146">
        <v>2</v>
      </c>
      <c r="I146" t="s">
        <v>184</v>
      </c>
    </row>
    <row r="147" spans="1:9" x14ac:dyDescent="0.3">
      <c r="A147" t="s">
        <v>154</v>
      </c>
      <c r="B147" t="s">
        <v>163</v>
      </c>
      <c r="C147" t="s">
        <v>168</v>
      </c>
      <c r="D147" t="s">
        <v>176</v>
      </c>
      <c r="E147">
        <v>35627</v>
      </c>
      <c r="F147" s="2">
        <v>43023</v>
      </c>
      <c r="G147">
        <v>5</v>
      </c>
      <c r="H147" t="s">
        <v>181</v>
      </c>
      <c r="I147" t="s">
        <v>184</v>
      </c>
    </row>
    <row r="148" spans="1:9" x14ac:dyDescent="0.3">
      <c r="A148" t="s">
        <v>155</v>
      </c>
      <c r="B148" t="s">
        <v>161</v>
      </c>
      <c r="C148" t="s">
        <v>170</v>
      </c>
      <c r="D148" t="s">
        <v>173</v>
      </c>
      <c r="E148">
        <v>57141</v>
      </c>
      <c r="F148" s="2">
        <v>43030</v>
      </c>
      <c r="G148">
        <v>2</v>
      </c>
      <c r="I148" t="s">
        <v>184</v>
      </c>
    </row>
    <row r="149" spans="1:9" x14ac:dyDescent="0.3">
      <c r="A149" t="s">
        <v>156</v>
      </c>
      <c r="B149" t="s">
        <v>165</v>
      </c>
      <c r="C149" t="s">
        <v>168</v>
      </c>
      <c r="D149" t="s">
        <v>176</v>
      </c>
      <c r="E149">
        <v>65270</v>
      </c>
      <c r="F149" s="2">
        <v>43037</v>
      </c>
      <c r="G149">
        <v>1</v>
      </c>
      <c r="I149" t="s">
        <v>184</v>
      </c>
    </row>
    <row r="150" spans="1:9" x14ac:dyDescent="0.3">
      <c r="A150" t="s">
        <v>157</v>
      </c>
      <c r="B150" t="s">
        <v>165</v>
      </c>
      <c r="D150" t="s">
        <v>175</v>
      </c>
      <c r="E150">
        <v>67335</v>
      </c>
      <c r="F150" s="2">
        <v>43044</v>
      </c>
      <c r="G150">
        <v>1</v>
      </c>
      <c r="H150" t="s">
        <v>179</v>
      </c>
      <c r="I150" t="s">
        <v>184</v>
      </c>
    </row>
    <row r="151" spans="1:9" x14ac:dyDescent="0.3">
      <c r="A151" t="s">
        <v>158</v>
      </c>
      <c r="B151" t="s">
        <v>163</v>
      </c>
      <c r="C151" t="s">
        <v>170</v>
      </c>
      <c r="D151" t="s">
        <v>174</v>
      </c>
      <c r="E151">
        <v>98475</v>
      </c>
      <c r="F151" s="2">
        <v>43051</v>
      </c>
      <c r="G151">
        <v>5</v>
      </c>
      <c r="H151" t="s">
        <v>179</v>
      </c>
      <c r="I151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6BA8C-F75A-42A2-A637-F5E099CBB88A}">
  <dimension ref="A1:L151"/>
  <sheetViews>
    <sheetView tabSelected="1" topLeftCell="B1" workbookViewId="0">
      <selection activeCell="H3" sqref="H3"/>
    </sheetView>
  </sheetViews>
  <sheetFormatPr defaultRowHeight="14.4" x14ac:dyDescent="0.3"/>
  <cols>
    <col min="1" max="1" width="16" bestFit="1" customWidth="1"/>
    <col min="2" max="2" width="11.33203125" bestFit="1" customWidth="1"/>
    <col min="3" max="3" width="15.5546875" bestFit="1" customWidth="1"/>
    <col min="4" max="4" width="12.21875" bestFit="1" customWidth="1"/>
    <col min="5" max="5" width="10.5546875" style="7" bestFit="1" customWidth="1"/>
    <col min="6" max="6" width="18.109375" bestFit="1" customWidth="1"/>
    <col min="7" max="7" width="22.33203125" bestFit="1" customWidth="1"/>
    <col min="8" max="8" width="10.77734375" bestFit="1" customWidth="1"/>
    <col min="9" max="9" width="11.5546875" bestFit="1" customWidth="1"/>
    <col min="10" max="10" width="20.44140625" bestFit="1" customWidth="1"/>
    <col min="11" max="11" width="50.109375" style="3" bestFit="1" customWidth="1"/>
    <col min="12" max="12" width="12.88671875" bestFit="1" customWidth="1"/>
  </cols>
  <sheetData>
    <row r="1" spans="1:12" x14ac:dyDescent="0.3">
      <c r="A1" s="6" t="s">
        <v>0</v>
      </c>
      <c r="B1" s="6" t="s">
        <v>1</v>
      </c>
      <c r="C1" s="6" t="s">
        <v>2</v>
      </c>
      <c r="D1" s="6" t="s">
        <v>3</v>
      </c>
      <c r="E1" s="12" t="s">
        <v>4</v>
      </c>
      <c r="F1" s="6" t="s">
        <v>5</v>
      </c>
      <c r="G1" s="13" t="s">
        <v>6</v>
      </c>
      <c r="H1" s="13" t="s">
        <v>188</v>
      </c>
      <c r="I1" s="6" t="s">
        <v>7</v>
      </c>
      <c r="J1" s="6" t="s">
        <v>8</v>
      </c>
      <c r="K1" s="4" t="s">
        <v>185</v>
      </c>
    </row>
    <row r="2" spans="1:12" x14ac:dyDescent="0.3">
      <c r="A2" t="s">
        <v>9</v>
      </c>
      <c r="C2" t="s">
        <v>166</v>
      </c>
      <c r="D2" t="s">
        <v>171</v>
      </c>
      <c r="E2" s="7" t="s">
        <v>177</v>
      </c>
      <c r="G2" s="9">
        <v>2</v>
      </c>
      <c r="H2" s="9" t="str">
        <f>IF(G2="","",IF(G2=5,"Excellent",IF(G2&gt;=3,"Good","Bad")))</f>
        <v>Bad</v>
      </c>
      <c r="I2" t="s">
        <v>178</v>
      </c>
      <c r="J2" t="s">
        <v>182</v>
      </c>
      <c r="K2" s="4" t="s">
        <v>186</v>
      </c>
      <c r="L2">
        <f>COUNTIF(E2:E151,"&gt;50000")</f>
        <v>101</v>
      </c>
    </row>
    <row r="3" spans="1:12" x14ac:dyDescent="0.3">
      <c r="A3" t="s">
        <v>10</v>
      </c>
      <c r="B3" t="s">
        <v>159</v>
      </c>
      <c r="C3" t="s">
        <v>167</v>
      </c>
      <c r="D3" t="s">
        <v>172</v>
      </c>
      <c r="E3" s="7">
        <v>54255</v>
      </c>
      <c r="F3" s="2">
        <v>42015</v>
      </c>
      <c r="G3" s="10">
        <v>1</v>
      </c>
      <c r="H3" s="9" t="str">
        <f t="shared" ref="H3:H66" si="0">IF(G3="","",IF(G3=5,"Excellent",IF(G3&gt;=3,"Good","Bad")))</f>
        <v>Bad</v>
      </c>
      <c r="I3" t="s">
        <v>179</v>
      </c>
      <c r="J3" t="s">
        <v>183</v>
      </c>
      <c r="K3" s="4" t="s">
        <v>187</v>
      </c>
      <c r="L3">
        <f>COUNTIF(E2:E151,"&lt;50000")</f>
        <v>41</v>
      </c>
    </row>
    <row r="4" spans="1:12" x14ac:dyDescent="0.3">
      <c r="A4" t="s">
        <v>11</v>
      </c>
      <c r="B4" t="s">
        <v>160</v>
      </c>
      <c r="C4" t="s">
        <v>166</v>
      </c>
      <c r="D4" t="s">
        <v>172</v>
      </c>
      <c r="E4" s="7">
        <v>63184</v>
      </c>
      <c r="F4" s="2">
        <v>42022</v>
      </c>
      <c r="G4" s="10">
        <v>2</v>
      </c>
      <c r="H4" s="9" t="str">
        <f t="shared" si="0"/>
        <v>Bad</v>
      </c>
      <c r="J4" t="s">
        <v>184</v>
      </c>
      <c r="K4" s="4" t="s">
        <v>190</v>
      </c>
      <c r="L4" s="7">
        <f>SUMIF(E2:E151,"&gt;50000")</f>
        <v>7826496</v>
      </c>
    </row>
    <row r="5" spans="1:12" x14ac:dyDescent="0.3">
      <c r="A5" t="s">
        <v>12</v>
      </c>
      <c r="B5" t="s">
        <v>161</v>
      </c>
      <c r="C5" t="s">
        <v>168</v>
      </c>
      <c r="D5" t="s">
        <v>173</v>
      </c>
      <c r="E5" s="7">
        <v>94406</v>
      </c>
      <c r="F5" s="2">
        <v>42029</v>
      </c>
      <c r="G5" s="10">
        <v>1</v>
      </c>
      <c r="H5" s="9" t="str">
        <f t="shared" si="0"/>
        <v>Bad</v>
      </c>
      <c r="I5" t="s">
        <v>180</v>
      </c>
      <c r="J5" t="s">
        <v>184</v>
      </c>
      <c r="K5" s="4" t="s">
        <v>189</v>
      </c>
      <c r="L5" s="7">
        <f>AVERAGEIF(E2:E151,"&gt;50000")</f>
        <v>77490.059405940599</v>
      </c>
    </row>
    <row r="6" spans="1:12" ht="28.8" x14ac:dyDescent="0.3">
      <c r="A6" t="s">
        <v>13</v>
      </c>
      <c r="B6" t="s">
        <v>162</v>
      </c>
      <c r="C6" t="s">
        <v>168</v>
      </c>
      <c r="D6" t="s">
        <v>172</v>
      </c>
      <c r="E6" s="7">
        <v>64120</v>
      </c>
      <c r="F6" s="2">
        <v>42036</v>
      </c>
      <c r="G6" s="10">
        <v>1</v>
      </c>
      <c r="H6" s="11" t="str">
        <f t="shared" si="0"/>
        <v>Bad</v>
      </c>
      <c r="I6" t="s">
        <v>180</v>
      </c>
      <c r="J6" t="s">
        <v>184</v>
      </c>
      <c r="K6" s="5" t="s">
        <v>191</v>
      </c>
    </row>
    <row r="7" spans="1:12" x14ac:dyDescent="0.3">
      <c r="A7" t="s">
        <v>14</v>
      </c>
      <c r="B7" t="s">
        <v>160</v>
      </c>
      <c r="C7" t="s">
        <v>169</v>
      </c>
      <c r="D7" t="s">
        <v>174</v>
      </c>
      <c r="E7" s="7">
        <v>78421</v>
      </c>
      <c r="F7" s="2">
        <v>42043</v>
      </c>
      <c r="G7" s="10">
        <v>2</v>
      </c>
      <c r="H7" s="9" t="str">
        <f t="shared" si="0"/>
        <v>Bad</v>
      </c>
      <c r="I7" t="s">
        <v>181</v>
      </c>
      <c r="J7" t="s">
        <v>184</v>
      </c>
    </row>
    <row r="8" spans="1:12" x14ac:dyDescent="0.3">
      <c r="A8" t="s">
        <v>15</v>
      </c>
      <c r="B8" t="s">
        <v>163</v>
      </c>
      <c r="C8" t="s">
        <v>168</v>
      </c>
      <c r="E8" s="7">
        <v>67721</v>
      </c>
      <c r="F8" s="2">
        <v>42050</v>
      </c>
      <c r="G8" s="10"/>
      <c r="H8" s="9" t="str">
        <f t="shared" si="0"/>
        <v/>
      </c>
      <c r="I8" t="s">
        <v>180</v>
      </c>
      <c r="J8" t="s">
        <v>184</v>
      </c>
    </row>
    <row r="9" spans="1:12" x14ac:dyDescent="0.3">
      <c r="A9" t="s">
        <v>16</v>
      </c>
      <c r="B9" t="s">
        <v>164</v>
      </c>
      <c r="C9" t="s">
        <v>170</v>
      </c>
      <c r="E9" s="7">
        <v>35364</v>
      </c>
      <c r="F9" s="2">
        <v>42057</v>
      </c>
      <c r="G9" s="10">
        <v>2</v>
      </c>
      <c r="H9" s="9" t="str">
        <f t="shared" si="0"/>
        <v>Bad</v>
      </c>
      <c r="I9" t="s">
        <v>179</v>
      </c>
      <c r="J9" t="s">
        <v>184</v>
      </c>
    </row>
    <row r="10" spans="1:12" x14ac:dyDescent="0.3">
      <c r="A10" t="s">
        <v>17</v>
      </c>
      <c r="B10" t="s">
        <v>160</v>
      </c>
      <c r="C10" t="s">
        <v>169</v>
      </c>
      <c r="D10" t="s">
        <v>172</v>
      </c>
      <c r="E10" s="7">
        <v>97881</v>
      </c>
      <c r="F10" s="2">
        <v>42064</v>
      </c>
      <c r="G10" s="10"/>
      <c r="H10" s="9" t="str">
        <f t="shared" si="0"/>
        <v/>
      </c>
      <c r="I10" t="s">
        <v>181</v>
      </c>
      <c r="J10" t="s">
        <v>184</v>
      </c>
      <c r="K10" s="8"/>
    </row>
    <row r="11" spans="1:12" x14ac:dyDescent="0.3">
      <c r="A11" t="s">
        <v>18</v>
      </c>
      <c r="B11" t="s">
        <v>164</v>
      </c>
      <c r="C11" t="s">
        <v>167</v>
      </c>
      <c r="D11" t="s">
        <v>175</v>
      </c>
      <c r="E11" s="7">
        <v>91846</v>
      </c>
      <c r="F11" s="2">
        <v>42071</v>
      </c>
      <c r="G11" s="10"/>
      <c r="H11" s="9" t="str">
        <f t="shared" si="0"/>
        <v/>
      </c>
      <c r="I11" t="s">
        <v>180</v>
      </c>
      <c r="J11" t="s">
        <v>184</v>
      </c>
    </row>
    <row r="12" spans="1:12" x14ac:dyDescent="0.3">
      <c r="A12" t="s">
        <v>19</v>
      </c>
      <c r="B12" t="s">
        <v>163</v>
      </c>
      <c r="C12" t="s">
        <v>166</v>
      </c>
      <c r="D12" t="s">
        <v>175</v>
      </c>
      <c r="E12" s="7">
        <v>64247</v>
      </c>
      <c r="F12" s="2">
        <v>42078</v>
      </c>
      <c r="G12" s="11">
        <v>1</v>
      </c>
      <c r="H12" s="9" t="str">
        <f t="shared" si="0"/>
        <v>Bad</v>
      </c>
      <c r="I12" t="s">
        <v>181</v>
      </c>
      <c r="J12" t="s">
        <v>184</v>
      </c>
    </row>
    <row r="13" spans="1:12" x14ac:dyDescent="0.3">
      <c r="A13" t="s">
        <v>20</v>
      </c>
      <c r="B13" t="s">
        <v>163</v>
      </c>
      <c r="C13" t="s">
        <v>169</v>
      </c>
      <c r="D13" t="s">
        <v>173</v>
      </c>
      <c r="E13" s="7">
        <v>91180</v>
      </c>
      <c r="F13" s="2">
        <v>42085</v>
      </c>
      <c r="G13" s="10">
        <v>5</v>
      </c>
      <c r="H13" s="9" t="str">
        <f t="shared" si="0"/>
        <v>Excellent</v>
      </c>
      <c r="I13" t="s">
        <v>180</v>
      </c>
      <c r="J13" t="s">
        <v>184</v>
      </c>
    </row>
    <row r="14" spans="1:12" x14ac:dyDescent="0.3">
      <c r="A14" t="s">
        <v>21</v>
      </c>
      <c r="B14" t="s">
        <v>165</v>
      </c>
      <c r="C14" t="s">
        <v>168</v>
      </c>
      <c r="E14" s="7">
        <v>96418</v>
      </c>
      <c r="F14" s="2">
        <v>42092</v>
      </c>
      <c r="G14" s="10">
        <v>5</v>
      </c>
      <c r="H14" s="9" t="str">
        <f t="shared" si="0"/>
        <v>Excellent</v>
      </c>
      <c r="I14" t="s">
        <v>180</v>
      </c>
      <c r="J14" t="s">
        <v>184</v>
      </c>
    </row>
    <row r="15" spans="1:12" x14ac:dyDescent="0.3">
      <c r="A15" t="s">
        <v>22</v>
      </c>
      <c r="B15" t="s">
        <v>163</v>
      </c>
      <c r="D15" t="s">
        <v>174</v>
      </c>
      <c r="E15" s="7">
        <v>62158</v>
      </c>
      <c r="F15" s="2">
        <v>42099</v>
      </c>
      <c r="G15" s="10">
        <v>4</v>
      </c>
      <c r="H15" s="9" t="str">
        <f t="shared" si="0"/>
        <v>Good</v>
      </c>
      <c r="J15" t="s">
        <v>184</v>
      </c>
    </row>
    <row r="16" spans="1:12" x14ac:dyDescent="0.3">
      <c r="A16" t="s">
        <v>23</v>
      </c>
      <c r="B16" t="s">
        <v>162</v>
      </c>
      <c r="C16" t="s">
        <v>167</v>
      </c>
      <c r="E16" s="7">
        <v>59894</v>
      </c>
      <c r="F16" s="2">
        <v>42106</v>
      </c>
      <c r="G16" s="10">
        <v>2</v>
      </c>
      <c r="H16" s="9" t="str">
        <f t="shared" si="0"/>
        <v>Bad</v>
      </c>
      <c r="I16" t="s">
        <v>180</v>
      </c>
      <c r="J16" t="s">
        <v>184</v>
      </c>
    </row>
    <row r="17" spans="1:10" x14ac:dyDescent="0.3">
      <c r="A17" t="s">
        <v>24</v>
      </c>
      <c r="C17" t="s">
        <v>169</v>
      </c>
      <c r="D17" t="s">
        <v>174</v>
      </c>
      <c r="E17" s="7">
        <v>92443</v>
      </c>
      <c r="F17" s="2">
        <v>42113</v>
      </c>
      <c r="G17" s="10">
        <v>3</v>
      </c>
      <c r="H17" s="9" t="str">
        <f t="shared" si="0"/>
        <v>Good</v>
      </c>
      <c r="I17" t="s">
        <v>179</v>
      </c>
      <c r="J17" t="s">
        <v>184</v>
      </c>
    </row>
    <row r="18" spans="1:10" x14ac:dyDescent="0.3">
      <c r="A18" t="s">
        <v>25</v>
      </c>
      <c r="B18" t="s">
        <v>165</v>
      </c>
      <c r="D18" t="s">
        <v>172</v>
      </c>
      <c r="E18" s="7">
        <v>90271</v>
      </c>
      <c r="F18" s="2">
        <v>42120</v>
      </c>
      <c r="G18" s="10"/>
      <c r="H18" s="9" t="str">
        <f t="shared" si="0"/>
        <v/>
      </c>
      <c r="J18" t="s">
        <v>184</v>
      </c>
    </row>
    <row r="19" spans="1:10" x14ac:dyDescent="0.3">
      <c r="A19" t="s">
        <v>26</v>
      </c>
      <c r="B19" t="s">
        <v>162</v>
      </c>
      <c r="C19" t="s">
        <v>166</v>
      </c>
      <c r="D19" t="s">
        <v>176</v>
      </c>
      <c r="E19" s="7">
        <v>41341</v>
      </c>
      <c r="F19" s="2">
        <v>42127</v>
      </c>
      <c r="G19" s="10">
        <v>1</v>
      </c>
      <c r="H19" s="9" t="str">
        <f t="shared" si="0"/>
        <v>Bad</v>
      </c>
      <c r="I19" t="s">
        <v>179</v>
      </c>
      <c r="J19" t="s">
        <v>184</v>
      </c>
    </row>
    <row r="20" spans="1:10" x14ac:dyDescent="0.3">
      <c r="A20" t="s">
        <v>27</v>
      </c>
      <c r="B20" t="s">
        <v>160</v>
      </c>
      <c r="C20" t="s">
        <v>166</v>
      </c>
      <c r="D20" t="s">
        <v>175</v>
      </c>
      <c r="E20" s="7">
        <v>73602</v>
      </c>
      <c r="F20" s="2">
        <v>42134</v>
      </c>
      <c r="G20" s="10"/>
      <c r="H20" s="9" t="str">
        <f t="shared" si="0"/>
        <v/>
      </c>
      <c r="J20" t="s">
        <v>184</v>
      </c>
    </row>
    <row r="21" spans="1:10" x14ac:dyDescent="0.3">
      <c r="A21" t="s">
        <v>28</v>
      </c>
      <c r="B21" t="s">
        <v>159</v>
      </c>
      <c r="D21" t="s">
        <v>174</v>
      </c>
      <c r="E21" s="7">
        <v>67531</v>
      </c>
      <c r="F21" s="2">
        <v>42141</v>
      </c>
      <c r="G21" s="10">
        <v>5</v>
      </c>
      <c r="H21" s="9" t="str">
        <f t="shared" si="0"/>
        <v>Excellent</v>
      </c>
      <c r="I21" t="s">
        <v>181</v>
      </c>
      <c r="J21" t="s">
        <v>184</v>
      </c>
    </row>
    <row r="22" spans="1:10" x14ac:dyDescent="0.3">
      <c r="A22" t="s">
        <v>29</v>
      </c>
      <c r="B22" t="s">
        <v>162</v>
      </c>
      <c r="C22" t="s">
        <v>167</v>
      </c>
      <c r="D22" t="s">
        <v>173</v>
      </c>
      <c r="E22" s="7" t="s">
        <v>177</v>
      </c>
      <c r="F22" s="2">
        <v>42148</v>
      </c>
      <c r="G22" s="10">
        <v>2</v>
      </c>
      <c r="H22" s="9" t="str">
        <f t="shared" si="0"/>
        <v>Bad</v>
      </c>
      <c r="I22" t="s">
        <v>179</v>
      </c>
      <c r="J22" t="s">
        <v>184</v>
      </c>
    </row>
    <row r="23" spans="1:10" x14ac:dyDescent="0.3">
      <c r="A23" t="s">
        <v>30</v>
      </c>
      <c r="B23" t="s">
        <v>162</v>
      </c>
      <c r="C23" t="s">
        <v>167</v>
      </c>
      <c r="E23" s="7">
        <v>98922</v>
      </c>
      <c r="F23" s="2">
        <v>42155</v>
      </c>
      <c r="G23" s="10">
        <v>4</v>
      </c>
      <c r="H23" s="9" t="str">
        <f t="shared" si="0"/>
        <v>Good</v>
      </c>
      <c r="J23" t="s">
        <v>184</v>
      </c>
    </row>
    <row r="24" spans="1:10" x14ac:dyDescent="0.3">
      <c r="A24" t="s">
        <v>31</v>
      </c>
      <c r="B24" t="s">
        <v>159</v>
      </c>
      <c r="C24" t="s">
        <v>166</v>
      </c>
      <c r="D24" t="s">
        <v>174</v>
      </c>
      <c r="E24" s="7">
        <v>38333</v>
      </c>
      <c r="F24" s="2">
        <v>42162</v>
      </c>
      <c r="G24" s="10">
        <v>5</v>
      </c>
      <c r="H24" s="9" t="str">
        <f t="shared" si="0"/>
        <v>Excellent</v>
      </c>
      <c r="J24" t="s">
        <v>184</v>
      </c>
    </row>
    <row r="25" spans="1:10" x14ac:dyDescent="0.3">
      <c r="A25" t="s">
        <v>32</v>
      </c>
      <c r="B25" t="s">
        <v>160</v>
      </c>
      <c r="C25" t="s">
        <v>170</v>
      </c>
      <c r="D25" t="s">
        <v>175</v>
      </c>
      <c r="E25" s="7">
        <v>36515</v>
      </c>
      <c r="F25" s="2">
        <v>42169</v>
      </c>
      <c r="G25" s="10">
        <v>3</v>
      </c>
      <c r="H25" s="9" t="str">
        <f t="shared" si="0"/>
        <v>Good</v>
      </c>
      <c r="I25" t="s">
        <v>180</v>
      </c>
      <c r="J25" t="s">
        <v>184</v>
      </c>
    </row>
    <row r="26" spans="1:10" x14ac:dyDescent="0.3">
      <c r="A26" t="s">
        <v>33</v>
      </c>
      <c r="B26" t="s">
        <v>163</v>
      </c>
      <c r="C26" t="s">
        <v>166</v>
      </c>
      <c r="E26" s="7">
        <v>91005</v>
      </c>
      <c r="F26" s="2">
        <v>42176</v>
      </c>
      <c r="G26" s="10">
        <v>1</v>
      </c>
      <c r="H26" s="9" t="str">
        <f t="shared" si="0"/>
        <v>Bad</v>
      </c>
      <c r="I26" t="s">
        <v>179</v>
      </c>
      <c r="J26" t="s">
        <v>184</v>
      </c>
    </row>
    <row r="27" spans="1:10" x14ac:dyDescent="0.3">
      <c r="A27" t="s">
        <v>34</v>
      </c>
      <c r="B27" t="s">
        <v>164</v>
      </c>
      <c r="D27" t="s">
        <v>171</v>
      </c>
      <c r="E27" s="7">
        <v>52272</v>
      </c>
      <c r="F27" s="2">
        <v>42183</v>
      </c>
      <c r="G27" s="10">
        <v>3</v>
      </c>
      <c r="H27" s="9" t="str">
        <f t="shared" si="0"/>
        <v>Good</v>
      </c>
      <c r="J27" t="s">
        <v>184</v>
      </c>
    </row>
    <row r="28" spans="1:10" x14ac:dyDescent="0.3">
      <c r="A28" t="s">
        <v>35</v>
      </c>
      <c r="B28" t="s">
        <v>159</v>
      </c>
      <c r="C28" t="s">
        <v>168</v>
      </c>
      <c r="D28" t="s">
        <v>172</v>
      </c>
      <c r="E28" s="7">
        <v>76518</v>
      </c>
      <c r="F28" s="2">
        <v>42190</v>
      </c>
      <c r="G28" s="10">
        <v>2</v>
      </c>
      <c r="H28" s="9" t="str">
        <f t="shared" si="0"/>
        <v>Bad</v>
      </c>
      <c r="I28" t="s">
        <v>181</v>
      </c>
      <c r="J28" t="s">
        <v>184</v>
      </c>
    </row>
    <row r="29" spans="1:10" x14ac:dyDescent="0.3">
      <c r="A29" t="s">
        <v>36</v>
      </c>
      <c r="B29" t="s">
        <v>160</v>
      </c>
      <c r="C29" t="s">
        <v>169</v>
      </c>
      <c r="D29" t="s">
        <v>175</v>
      </c>
      <c r="E29" s="7">
        <v>41448</v>
      </c>
      <c r="F29" s="2">
        <v>42197</v>
      </c>
      <c r="G29" s="10">
        <v>3</v>
      </c>
      <c r="H29" s="9" t="str">
        <f t="shared" si="0"/>
        <v>Good</v>
      </c>
      <c r="I29" t="s">
        <v>179</v>
      </c>
      <c r="J29" t="s">
        <v>184</v>
      </c>
    </row>
    <row r="30" spans="1:10" x14ac:dyDescent="0.3">
      <c r="A30" t="s">
        <v>37</v>
      </c>
      <c r="B30" t="s">
        <v>161</v>
      </c>
      <c r="C30" t="s">
        <v>167</v>
      </c>
      <c r="D30" t="s">
        <v>175</v>
      </c>
      <c r="E30" s="7">
        <v>49282</v>
      </c>
      <c r="F30" s="2">
        <v>42204</v>
      </c>
      <c r="G30" s="10">
        <v>2</v>
      </c>
      <c r="H30" s="9" t="str">
        <f t="shared" si="0"/>
        <v>Bad</v>
      </c>
      <c r="I30" t="s">
        <v>181</v>
      </c>
      <c r="J30" t="s">
        <v>184</v>
      </c>
    </row>
    <row r="31" spans="1:10" x14ac:dyDescent="0.3">
      <c r="A31" t="s">
        <v>38</v>
      </c>
      <c r="B31" t="s">
        <v>165</v>
      </c>
      <c r="C31" t="s">
        <v>170</v>
      </c>
      <c r="D31" t="s">
        <v>175</v>
      </c>
      <c r="E31" s="7">
        <v>92959</v>
      </c>
      <c r="F31" s="2">
        <v>42211</v>
      </c>
      <c r="G31" s="10">
        <v>5</v>
      </c>
      <c r="H31" s="9" t="str">
        <f t="shared" si="0"/>
        <v>Excellent</v>
      </c>
      <c r="J31" t="s">
        <v>184</v>
      </c>
    </row>
    <row r="32" spans="1:10" x14ac:dyDescent="0.3">
      <c r="A32" t="s">
        <v>39</v>
      </c>
      <c r="C32" t="s">
        <v>170</v>
      </c>
      <c r="E32" s="7">
        <v>92259</v>
      </c>
      <c r="G32" s="10">
        <v>1</v>
      </c>
      <c r="H32" s="9" t="str">
        <f t="shared" si="0"/>
        <v>Bad</v>
      </c>
      <c r="I32" t="s">
        <v>178</v>
      </c>
      <c r="J32" t="s">
        <v>184</v>
      </c>
    </row>
    <row r="33" spans="1:10" x14ac:dyDescent="0.3">
      <c r="A33" t="s">
        <v>40</v>
      </c>
      <c r="B33" t="s">
        <v>159</v>
      </c>
      <c r="C33" t="s">
        <v>167</v>
      </c>
      <c r="D33" t="s">
        <v>172</v>
      </c>
      <c r="E33" s="7">
        <v>92299</v>
      </c>
      <c r="F33" s="2">
        <v>42225</v>
      </c>
      <c r="G33" s="10">
        <v>3</v>
      </c>
      <c r="H33" s="9" t="str">
        <f t="shared" si="0"/>
        <v>Good</v>
      </c>
      <c r="I33" t="s">
        <v>180</v>
      </c>
      <c r="J33" t="s">
        <v>184</v>
      </c>
    </row>
    <row r="34" spans="1:10" x14ac:dyDescent="0.3">
      <c r="A34" t="s">
        <v>41</v>
      </c>
      <c r="B34" t="s">
        <v>163</v>
      </c>
      <c r="C34" t="s">
        <v>167</v>
      </c>
      <c r="E34" s="7">
        <v>95586</v>
      </c>
      <c r="F34" s="2">
        <v>42232</v>
      </c>
      <c r="G34" s="10">
        <v>3</v>
      </c>
      <c r="H34" s="9" t="str">
        <f t="shared" si="0"/>
        <v>Good</v>
      </c>
      <c r="I34" t="s">
        <v>179</v>
      </c>
      <c r="J34" t="s">
        <v>184</v>
      </c>
    </row>
    <row r="35" spans="1:10" x14ac:dyDescent="0.3">
      <c r="A35" t="s">
        <v>42</v>
      </c>
      <c r="B35" t="s">
        <v>164</v>
      </c>
      <c r="D35" t="s">
        <v>173</v>
      </c>
      <c r="E35" s="7">
        <v>95367</v>
      </c>
      <c r="F35" s="2">
        <v>42239</v>
      </c>
      <c r="G35" s="10"/>
      <c r="H35" s="9" t="str">
        <f t="shared" si="0"/>
        <v/>
      </c>
      <c r="I35" t="s">
        <v>180</v>
      </c>
      <c r="J35" t="s">
        <v>184</v>
      </c>
    </row>
    <row r="36" spans="1:10" x14ac:dyDescent="0.3">
      <c r="A36" t="s">
        <v>43</v>
      </c>
      <c r="B36" t="s">
        <v>161</v>
      </c>
      <c r="C36" t="s">
        <v>168</v>
      </c>
      <c r="D36" t="s">
        <v>176</v>
      </c>
      <c r="E36" s="7">
        <v>79549</v>
      </c>
      <c r="F36" s="2">
        <v>42246</v>
      </c>
      <c r="G36" s="10">
        <v>3</v>
      </c>
      <c r="H36" s="9" t="str">
        <f t="shared" si="0"/>
        <v>Good</v>
      </c>
      <c r="J36" t="s">
        <v>184</v>
      </c>
    </row>
    <row r="37" spans="1:10" x14ac:dyDescent="0.3">
      <c r="A37" t="s">
        <v>44</v>
      </c>
      <c r="B37" t="s">
        <v>160</v>
      </c>
      <c r="D37" t="s">
        <v>175</v>
      </c>
      <c r="E37" s="7">
        <v>54463</v>
      </c>
      <c r="F37" s="2">
        <v>42253</v>
      </c>
      <c r="G37" s="10">
        <v>4</v>
      </c>
      <c r="H37" s="9" t="str">
        <f t="shared" si="0"/>
        <v>Good</v>
      </c>
      <c r="I37" t="s">
        <v>180</v>
      </c>
      <c r="J37" t="s">
        <v>184</v>
      </c>
    </row>
    <row r="38" spans="1:10" x14ac:dyDescent="0.3">
      <c r="A38" t="s">
        <v>45</v>
      </c>
      <c r="B38" t="s">
        <v>160</v>
      </c>
      <c r="C38" t="s">
        <v>169</v>
      </c>
      <c r="D38" t="s">
        <v>173</v>
      </c>
      <c r="E38" s="7">
        <v>89781</v>
      </c>
      <c r="F38" s="2">
        <v>42260</v>
      </c>
      <c r="G38" s="10"/>
      <c r="H38" s="9" t="str">
        <f t="shared" si="0"/>
        <v/>
      </c>
      <c r="I38" t="s">
        <v>181</v>
      </c>
      <c r="J38" t="s">
        <v>184</v>
      </c>
    </row>
    <row r="39" spans="1:10" x14ac:dyDescent="0.3">
      <c r="A39" t="s">
        <v>46</v>
      </c>
      <c r="B39" t="s">
        <v>160</v>
      </c>
      <c r="C39" t="s">
        <v>167</v>
      </c>
      <c r="E39" s="7">
        <v>64796</v>
      </c>
      <c r="F39" s="2">
        <v>42267</v>
      </c>
      <c r="G39" s="10"/>
      <c r="H39" s="9" t="str">
        <f t="shared" si="0"/>
        <v/>
      </c>
      <c r="I39" t="s">
        <v>179</v>
      </c>
      <c r="J39" t="s">
        <v>184</v>
      </c>
    </row>
    <row r="40" spans="1:10" x14ac:dyDescent="0.3">
      <c r="A40" t="s">
        <v>47</v>
      </c>
      <c r="B40" t="s">
        <v>161</v>
      </c>
      <c r="C40" t="s">
        <v>170</v>
      </c>
      <c r="D40" t="s">
        <v>175</v>
      </c>
      <c r="E40" s="7">
        <v>52093</v>
      </c>
      <c r="F40" s="2">
        <v>42274</v>
      </c>
      <c r="G40" s="10">
        <v>5</v>
      </c>
      <c r="H40" s="9" t="str">
        <f t="shared" si="0"/>
        <v>Excellent</v>
      </c>
      <c r="J40" t="s">
        <v>184</v>
      </c>
    </row>
    <row r="41" spans="1:10" x14ac:dyDescent="0.3">
      <c r="A41" t="s">
        <v>48</v>
      </c>
      <c r="B41" t="s">
        <v>164</v>
      </c>
      <c r="C41" t="s">
        <v>167</v>
      </c>
      <c r="D41" t="s">
        <v>175</v>
      </c>
      <c r="E41" s="7">
        <v>48224</v>
      </c>
      <c r="F41" s="2">
        <v>42281</v>
      </c>
      <c r="G41" s="10">
        <v>3</v>
      </c>
      <c r="H41" s="9" t="str">
        <f t="shared" si="0"/>
        <v>Good</v>
      </c>
      <c r="J41" t="s">
        <v>184</v>
      </c>
    </row>
    <row r="42" spans="1:10" x14ac:dyDescent="0.3">
      <c r="A42" t="s">
        <v>49</v>
      </c>
      <c r="B42" t="s">
        <v>165</v>
      </c>
      <c r="C42" t="s">
        <v>166</v>
      </c>
      <c r="D42" t="s">
        <v>175</v>
      </c>
      <c r="E42" s="7" t="s">
        <v>177</v>
      </c>
      <c r="G42" s="10">
        <v>4</v>
      </c>
      <c r="H42" s="9" t="str">
        <f t="shared" si="0"/>
        <v>Good</v>
      </c>
      <c r="I42" t="s">
        <v>181</v>
      </c>
      <c r="J42" t="s">
        <v>184</v>
      </c>
    </row>
    <row r="43" spans="1:10" x14ac:dyDescent="0.3">
      <c r="A43" t="s">
        <v>50</v>
      </c>
      <c r="B43" t="s">
        <v>160</v>
      </c>
      <c r="C43" t="s">
        <v>169</v>
      </c>
      <c r="D43" t="s">
        <v>172</v>
      </c>
      <c r="E43" s="7">
        <v>33956</v>
      </c>
      <c r="F43" s="2">
        <v>42295</v>
      </c>
      <c r="G43" s="10"/>
      <c r="H43" s="9" t="str">
        <f t="shared" si="0"/>
        <v/>
      </c>
      <c r="J43" t="s">
        <v>184</v>
      </c>
    </row>
    <row r="44" spans="1:10" x14ac:dyDescent="0.3">
      <c r="A44" t="s">
        <v>51</v>
      </c>
      <c r="B44" t="s">
        <v>165</v>
      </c>
      <c r="D44" t="s">
        <v>176</v>
      </c>
      <c r="E44" s="7">
        <v>64913</v>
      </c>
      <c r="F44" s="2">
        <v>42302</v>
      </c>
      <c r="G44" s="10">
        <v>1</v>
      </c>
      <c r="H44" s="9" t="str">
        <f t="shared" si="0"/>
        <v>Bad</v>
      </c>
      <c r="I44" t="s">
        <v>181</v>
      </c>
      <c r="J44" t="s">
        <v>184</v>
      </c>
    </row>
    <row r="45" spans="1:10" x14ac:dyDescent="0.3">
      <c r="A45" t="s">
        <v>52</v>
      </c>
      <c r="B45" t="s">
        <v>160</v>
      </c>
      <c r="C45" t="s">
        <v>170</v>
      </c>
      <c r="D45" t="s">
        <v>176</v>
      </c>
      <c r="E45" s="7">
        <v>35326</v>
      </c>
      <c r="F45" s="2">
        <v>42309</v>
      </c>
      <c r="G45" s="10"/>
      <c r="H45" s="9" t="str">
        <f t="shared" si="0"/>
        <v/>
      </c>
      <c r="I45" t="s">
        <v>181</v>
      </c>
      <c r="J45" t="s">
        <v>184</v>
      </c>
    </row>
    <row r="46" spans="1:10" x14ac:dyDescent="0.3">
      <c r="A46" t="s">
        <v>53</v>
      </c>
      <c r="B46" t="s">
        <v>164</v>
      </c>
      <c r="C46" t="s">
        <v>166</v>
      </c>
      <c r="E46" s="7">
        <v>81610</v>
      </c>
      <c r="F46" s="2">
        <v>42316</v>
      </c>
      <c r="G46" s="10">
        <v>1</v>
      </c>
      <c r="H46" s="9" t="str">
        <f t="shared" si="0"/>
        <v>Bad</v>
      </c>
      <c r="J46" t="s">
        <v>184</v>
      </c>
    </row>
    <row r="47" spans="1:10" x14ac:dyDescent="0.3">
      <c r="A47" t="s">
        <v>54</v>
      </c>
      <c r="C47" t="s">
        <v>167</v>
      </c>
      <c r="E47" s="7">
        <v>58962</v>
      </c>
      <c r="F47" s="2">
        <v>42323</v>
      </c>
      <c r="G47" s="10">
        <v>3</v>
      </c>
      <c r="H47" s="9" t="str">
        <f t="shared" si="0"/>
        <v>Good</v>
      </c>
      <c r="I47" t="s">
        <v>179</v>
      </c>
      <c r="J47" t="s">
        <v>184</v>
      </c>
    </row>
    <row r="48" spans="1:10" x14ac:dyDescent="0.3">
      <c r="A48" t="s">
        <v>55</v>
      </c>
      <c r="B48" t="s">
        <v>164</v>
      </c>
      <c r="C48" t="s">
        <v>169</v>
      </c>
      <c r="D48" t="s">
        <v>172</v>
      </c>
      <c r="E48" s="7">
        <v>92701</v>
      </c>
      <c r="F48" s="2">
        <v>42330</v>
      </c>
      <c r="G48" s="10">
        <v>3</v>
      </c>
      <c r="H48" s="9" t="str">
        <f t="shared" si="0"/>
        <v>Good</v>
      </c>
      <c r="I48" t="s">
        <v>179</v>
      </c>
      <c r="J48" t="s">
        <v>184</v>
      </c>
    </row>
    <row r="49" spans="1:10" x14ac:dyDescent="0.3">
      <c r="A49" t="s">
        <v>56</v>
      </c>
      <c r="B49" t="s">
        <v>164</v>
      </c>
      <c r="C49" t="s">
        <v>167</v>
      </c>
      <c r="D49" t="s">
        <v>174</v>
      </c>
      <c r="E49" s="7">
        <v>58245</v>
      </c>
      <c r="F49" s="2">
        <v>42337</v>
      </c>
      <c r="G49" s="10">
        <v>4</v>
      </c>
      <c r="H49" s="9" t="str">
        <f t="shared" si="0"/>
        <v>Good</v>
      </c>
      <c r="J49" t="s">
        <v>184</v>
      </c>
    </row>
    <row r="50" spans="1:10" x14ac:dyDescent="0.3">
      <c r="A50" t="s">
        <v>57</v>
      </c>
      <c r="B50" t="s">
        <v>161</v>
      </c>
      <c r="C50" t="s">
        <v>166</v>
      </c>
      <c r="E50" s="7">
        <v>66513</v>
      </c>
      <c r="F50" s="2">
        <v>42344</v>
      </c>
      <c r="G50" s="10">
        <v>2</v>
      </c>
      <c r="H50" s="9" t="str">
        <f t="shared" si="0"/>
        <v>Bad</v>
      </c>
      <c r="I50" t="s">
        <v>179</v>
      </c>
      <c r="J50" t="s">
        <v>184</v>
      </c>
    </row>
    <row r="51" spans="1:10" x14ac:dyDescent="0.3">
      <c r="A51" t="s">
        <v>58</v>
      </c>
      <c r="B51" t="s">
        <v>159</v>
      </c>
      <c r="C51" t="s">
        <v>167</v>
      </c>
      <c r="D51" t="s">
        <v>172</v>
      </c>
      <c r="E51" s="7">
        <v>78720</v>
      </c>
      <c r="F51" s="2">
        <v>42351</v>
      </c>
      <c r="G51" s="10">
        <v>5</v>
      </c>
      <c r="H51" s="9" t="str">
        <f t="shared" si="0"/>
        <v>Excellent</v>
      </c>
      <c r="I51" t="s">
        <v>181</v>
      </c>
      <c r="J51" t="s">
        <v>184</v>
      </c>
    </row>
    <row r="52" spans="1:10" x14ac:dyDescent="0.3">
      <c r="A52" t="s">
        <v>59</v>
      </c>
      <c r="B52" t="s">
        <v>164</v>
      </c>
      <c r="D52" t="s">
        <v>171</v>
      </c>
      <c r="E52" s="7">
        <v>30686</v>
      </c>
      <c r="G52" s="10">
        <v>2</v>
      </c>
      <c r="H52" s="9" t="str">
        <f t="shared" si="0"/>
        <v>Bad</v>
      </c>
      <c r="I52" t="s">
        <v>181</v>
      </c>
      <c r="J52" t="s">
        <v>184</v>
      </c>
    </row>
    <row r="53" spans="1:10" x14ac:dyDescent="0.3">
      <c r="A53" t="s">
        <v>60</v>
      </c>
      <c r="B53" t="s">
        <v>163</v>
      </c>
      <c r="C53" t="s">
        <v>168</v>
      </c>
      <c r="D53" t="s">
        <v>174</v>
      </c>
      <c r="E53" s="7">
        <v>39423</v>
      </c>
      <c r="F53" s="2">
        <v>42365</v>
      </c>
      <c r="G53" s="10">
        <v>5</v>
      </c>
      <c r="H53" s="9" t="str">
        <f t="shared" si="0"/>
        <v>Excellent</v>
      </c>
      <c r="J53" t="s">
        <v>184</v>
      </c>
    </row>
    <row r="54" spans="1:10" x14ac:dyDescent="0.3">
      <c r="A54" t="s">
        <v>61</v>
      </c>
      <c r="B54" t="s">
        <v>159</v>
      </c>
      <c r="C54" t="s">
        <v>170</v>
      </c>
      <c r="E54" s="7">
        <v>30280</v>
      </c>
      <c r="F54" s="2">
        <v>42372</v>
      </c>
      <c r="G54" s="10">
        <v>1</v>
      </c>
      <c r="H54" s="9" t="str">
        <f t="shared" si="0"/>
        <v>Bad</v>
      </c>
      <c r="J54" t="s">
        <v>184</v>
      </c>
    </row>
    <row r="55" spans="1:10" x14ac:dyDescent="0.3">
      <c r="A55" t="s">
        <v>62</v>
      </c>
      <c r="B55" t="s">
        <v>159</v>
      </c>
      <c r="C55" t="s">
        <v>166</v>
      </c>
      <c r="D55" t="s">
        <v>175</v>
      </c>
      <c r="E55" s="7">
        <v>33352</v>
      </c>
      <c r="F55" s="2">
        <v>42379</v>
      </c>
      <c r="G55" s="10">
        <v>3</v>
      </c>
      <c r="H55" s="9" t="str">
        <f t="shared" si="0"/>
        <v>Good</v>
      </c>
      <c r="I55" t="s">
        <v>181</v>
      </c>
      <c r="J55" t="s">
        <v>184</v>
      </c>
    </row>
    <row r="56" spans="1:10" x14ac:dyDescent="0.3">
      <c r="A56" t="s">
        <v>63</v>
      </c>
      <c r="B56" t="s">
        <v>165</v>
      </c>
      <c r="C56" t="s">
        <v>170</v>
      </c>
      <c r="D56" t="s">
        <v>175</v>
      </c>
      <c r="E56" s="7">
        <v>75633</v>
      </c>
      <c r="F56" s="2">
        <v>42386</v>
      </c>
      <c r="G56" s="10">
        <v>5</v>
      </c>
      <c r="H56" s="9" t="str">
        <f t="shared" si="0"/>
        <v>Excellent</v>
      </c>
      <c r="I56" t="s">
        <v>179</v>
      </c>
      <c r="J56" t="s">
        <v>184</v>
      </c>
    </row>
    <row r="57" spans="1:10" x14ac:dyDescent="0.3">
      <c r="A57" t="s">
        <v>64</v>
      </c>
      <c r="B57" t="s">
        <v>164</v>
      </c>
      <c r="D57" t="s">
        <v>173</v>
      </c>
      <c r="E57" s="7">
        <v>74815</v>
      </c>
      <c r="F57" s="2">
        <v>42393</v>
      </c>
      <c r="G57" s="10">
        <v>5</v>
      </c>
      <c r="H57" s="9" t="str">
        <f t="shared" si="0"/>
        <v>Excellent</v>
      </c>
      <c r="I57" t="s">
        <v>181</v>
      </c>
      <c r="J57" t="s">
        <v>184</v>
      </c>
    </row>
    <row r="58" spans="1:10" x14ac:dyDescent="0.3">
      <c r="A58" t="s">
        <v>65</v>
      </c>
      <c r="B58" t="s">
        <v>161</v>
      </c>
      <c r="C58" t="s">
        <v>168</v>
      </c>
      <c r="D58" t="s">
        <v>176</v>
      </c>
      <c r="E58" s="7">
        <v>60011</v>
      </c>
      <c r="F58" s="2">
        <v>42400</v>
      </c>
      <c r="G58" s="10">
        <v>1</v>
      </c>
      <c r="H58" s="9" t="str">
        <f t="shared" si="0"/>
        <v>Bad</v>
      </c>
      <c r="I58" t="s">
        <v>180</v>
      </c>
      <c r="J58" t="s">
        <v>184</v>
      </c>
    </row>
    <row r="59" spans="1:10" x14ac:dyDescent="0.3">
      <c r="A59" t="s">
        <v>66</v>
      </c>
      <c r="B59" t="s">
        <v>159</v>
      </c>
      <c r="D59" t="s">
        <v>174</v>
      </c>
      <c r="E59" s="7">
        <v>96949</v>
      </c>
      <c r="F59" s="2">
        <v>42407</v>
      </c>
      <c r="G59" s="10">
        <v>3</v>
      </c>
      <c r="H59" s="9" t="str">
        <f t="shared" si="0"/>
        <v>Good</v>
      </c>
      <c r="J59" t="s">
        <v>184</v>
      </c>
    </row>
    <row r="60" spans="1:10" x14ac:dyDescent="0.3">
      <c r="A60" t="s">
        <v>67</v>
      </c>
      <c r="B60" t="s">
        <v>163</v>
      </c>
      <c r="C60" t="s">
        <v>170</v>
      </c>
      <c r="E60" s="7">
        <v>84924</v>
      </c>
      <c r="F60" s="2">
        <v>42414</v>
      </c>
      <c r="G60" s="10">
        <v>5</v>
      </c>
      <c r="H60" s="9" t="str">
        <f t="shared" si="0"/>
        <v>Excellent</v>
      </c>
      <c r="I60" t="s">
        <v>180</v>
      </c>
      <c r="J60" t="s">
        <v>184</v>
      </c>
    </row>
    <row r="61" spans="1:10" x14ac:dyDescent="0.3">
      <c r="A61" t="s">
        <v>68</v>
      </c>
      <c r="B61" t="s">
        <v>163</v>
      </c>
      <c r="C61" t="s">
        <v>166</v>
      </c>
      <c r="D61" t="s">
        <v>173</v>
      </c>
      <c r="E61" s="7">
        <v>82033</v>
      </c>
      <c r="F61" s="2">
        <v>42421</v>
      </c>
      <c r="G61" s="10">
        <v>1</v>
      </c>
      <c r="H61" s="9" t="str">
        <f t="shared" si="0"/>
        <v>Bad</v>
      </c>
      <c r="J61" t="s">
        <v>184</v>
      </c>
    </row>
    <row r="62" spans="1:10" x14ac:dyDescent="0.3">
      <c r="A62" t="s">
        <v>69</v>
      </c>
      <c r="C62" t="s">
        <v>170</v>
      </c>
      <c r="D62" t="s">
        <v>172</v>
      </c>
      <c r="E62" s="7" t="s">
        <v>177</v>
      </c>
      <c r="G62" s="10">
        <v>5</v>
      </c>
      <c r="H62" s="9" t="str">
        <f t="shared" si="0"/>
        <v>Excellent</v>
      </c>
      <c r="I62" t="s">
        <v>178</v>
      </c>
      <c r="J62" t="s">
        <v>184</v>
      </c>
    </row>
    <row r="63" spans="1:10" x14ac:dyDescent="0.3">
      <c r="A63" t="s">
        <v>70</v>
      </c>
      <c r="B63" t="s">
        <v>159</v>
      </c>
      <c r="D63" t="s">
        <v>176</v>
      </c>
      <c r="E63" s="7">
        <v>31499</v>
      </c>
      <c r="F63" s="2">
        <v>42435</v>
      </c>
      <c r="G63" s="10">
        <v>2</v>
      </c>
      <c r="H63" s="9" t="str">
        <f t="shared" si="0"/>
        <v>Bad</v>
      </c>
      <c r="J63" t="s">
        <v>184</v>
      </c>
    </row>
    <row r="64" spans="1:10" x14ac:dyDescent="0.3">
      <c r="A64" t="s">
        <v>71</v>
      </c>
      <c r="B64" t="s">
        <v>164</v>
      </c>
      <c r="C64" t="s">
        <v>169</v>
      </c>
      <c r="D64" t="s">
        <v>175</v>
      </c>
      <c r="E64" s="7">
        <v>97981</v>
      </c>
      <c r="F64" s="2">
        <v>42442</v>
      </c>
      <c r="G64" s="10">
        <v>5</v>
      </c>
      <c r="H64" s="9" t="str">
        <f t="shared" si="0"/>
        <v>Excellent</v>
      </c>
      <c r="I64" t="s">
        <v>181</v>
      </c>
      <c r="J64" t="s">
        <v>184</v>
      </c>
    </row>
    <row r="65" spans="1:10" x14ac:dyDescent="0.3">
      <c r="A65" t="s">
        <v>72</v>
      </c>
      <c r="B65" t="s">
        <v>159</v>
      </c>
      <c r="C65" t="s">
        <v>167</v>
      </c>
      <c r="D65" t="s">
        <v>173</v>
      </c>
      <c r="E65" s="7">
        <v>36541</v>
      </c>
      <c r="F65" s="2">
        <v>42449</v>
      </c>
      <c r="G65" s="10">
        <v>2</v>
      </c>
      <c r="H65" s="9" t="str">
        <f t="shared" si="0"/>
        <v>Bad</v>
      </c>
      <c r="I65" t="s">
        <v>179</v>
      </c>
      <c r="J65" t="s">
        <v>184</v>
      </c>
    </row>
    <row r="66" spans="1:10" x14ac:dyDescent="0.3">
      <c r="A66" t="s">
        <v>73</v>
      </c>
      <c r="B66" t="s">
        <v>161</v>
      </c>
      <c r="C66" t="s">
        <v>169</v>
      </c>
      <c r="D66" t="s">
        <v>174</v>
      </c>
      <c r="E66" s="7">
        <v>84737</v>
      </c>
      <c r="F66" s="2">
        <v>42456</v>
      </c>
      <c r="G66" s="10">
        <v>1</v>
      </c>
      <c r="H66" s="9" t="str">
        <f t="shared" si="0"/>
        <v>Bad</v>
      </c>
      <c r="I66" t="s">
        <v>180</v>
      </c>
      <c r="J66" t="s">
        <v>184</v>
      </c>
    </row>
    <row r="67" spans="1:10" x14ac:dyDescent="0.3">
      <c r="A67" t="s">
        <v>74</v>
      </c>
      <c r="B67" t="s">
        <v>163</v>
      </c>
      <c r="C67" t="s">
        <v>166</v>
      </c>
      <c r="D67" t="s">
        <v>174</v>
      </c>
      <c r="E67" s="7">
        <v>33468</v>
      </c>
      <c r="F67" s="2">
        <v>42463</v>
      </c>
      <c r="G67" s="10">
        <v>4</v>
      </c>
      <c r="H67" s="9" t="str">
        <f t="shared" ref="H67:H130" si="1">IF(G67="","",IF(G67=5,"Excellent",IF(G67&gt;=3,"Good","Bad")))</f>
        <v>Good</v>
      </c>
      <c r="I67" t="s">
        <v>180</v>
      </c>
      <c r="J67" t="s">
        <v>184</v>
      </c>
    </row>
    <row r="68" spans="1:10" x14ac:dyDescent="0.3">
      <c r="A68" t="s">
        <v>75</v>
      </c>
      <c r="B68" t="s">
        <v>163</v>
      </c>
      <c r="D68" t="s">
        <v>176</v>
      </c>
      <c r="E68" s="7">
        <v>96365</v>
      </c>
      <c r="F68" s="2">
        <v>42470</v>
      </c>
      <c r="G68" s="10">
        <v>3</v>
      </c>
      <c r="H68" s="9" t="str">
        <f t="shared" si="1"/>
        <v>Good</v>
      </c>
      <c r="I68" t="s">
        <v>179</v>
      </c>
      <c r="J68" t="s">
        <v>184</v>
      </c>
    </row>
    <row r="69" spans="1:10" x14ac:dyDescent="0.3">
      <c r="A69" t="s">
        <v>76</v>
      </c>
      <c r="B69" t="s">
        <v>160</v>
      </c>
      <c r="C69" t="s">
        <v>168</v>
      </c>
      <c r="D69" t="s">
        <v>174</v>
      </c>
      <c r="E69" s="7">
        <v>61942</v>
      </c>
      <c r="F69" s="2">
        <v>42477</v>
      </c>
      <c r="G69" s="10">
        <v>3</v>
      </c>
      <c r="H69" s="9" t="str">
        <f t="shared" si="1"/>
        <v>Good</v>
      </c>
      <c r="I69" t="s">
        <v>181</v>
      </c>
      <c r="J69" t="s">
        <v>184</v>
      </c>
    </row>
    <row r="70" spans="1:10" x14ac:dyDescent="0.3">
      <c r="A70" t="s">
        <v>77</v>
      </c>
      <c r="B70" t="s">
        <v>163</v>
      </c>
      <c r="C70" t="s">
        <v>166</v>
      </c>
      <c r="D70" t="s">
        <v>175</v>
      </c>
      <c r="E70" s="7">
        <v>41467</v>
      </c>
      <c r="F70" s="2">
        <v>42484</v>
      </c>
      <c r="G70" s="10">
        <v>2</v>
      </c>
      <c r="H70" s="9" t="str">
        <f t="shared" si="1"/>
        <v>Bad</v>
      </c>
      <c r="J70" t="s">
        <v>184</v>
      </c>
    </row>
    <row r="71" spans="1:10" x14ac:dyDescent="0.3">
      <c r="A71" t="s">
        <v>78</v>
      </c>
      <c r="B71" t="s">
        <v>165</v>
      </c>
      <c r="C71" t="s">
        <v>166</v>
      </c>
      <c r="D71" t="s">
        <v>174</v>
      </c>
      <c r="E71" s="7">
        <v>77096</v>
      </c>
      <c r="F71" s="2">
        <v>42491</v>
      </c>
      <c r="G71" s="10">
        <v>1</v>
      </c>
      <c r="H71" s="9" t="str">
        <f t="shared" si="1"/>
        <v>Bad</v>
      </c>
      <c r="J71" t="s">
        <v>184</v>
      </c>
    </row>
    <row r="72" spans="1:10" x14ac:dyDescent="0.3">
      <c r="A72" t="s">
        <v>79</v>
      </c>
      <c r="B72" t="s">
        <v>159</v>
      </c>
      <c r="C72" t="s">
        <v>168</v>
      </c>
      <c r="D72" t="s">
        <v>176</v>
      </c>
      <c r="E72" s="7">
        <v>69952</v>
      </c>
      <c r="F72" s="2">
        <v>42498</v>
      </c>
      <c r="G72" s="10">
        <v>5</v>
      </c>
      <c r="H72" s="9" t="str">
        <f t="shared" si="1"/>
        <v>Excellent</v>
      </c>
      <c r="I72" t="s">
        <v>181</v>
      </c>
      <c r="J72" t="s">
        <v>184</v>
      </c>
    </row>
    <row r="73" spans="1:10" x14ac:dyDescent="0.3">
      <c r="A73" t="s">
        <v>80</v>
      </c>
      <c r="B73" t="s">
        <v>159</v>
      </c>
      <c r="C73" t="s">
        <v>170</v>
      </c>
      <c r="D73" t="s">
        <v>173</v>
      </c>
      <c r="E73" s="7">
        <v>85065</v>
      </c>
      <c r="F73" s="2">
        <v>42505</v>
      </c>
      <c r="G73" s="10">
        <v>3</v>
      </c>
      <c r="H73" s="9" t="str">
        <f t="shared" si="1"/>
        <v>Good</v>
      </c>
      <c r="J73" t="s">
        <v>184</v>
      </c>
    </row>
    <row r="74" spans="1:10" x14ac:dyDescent="0.3">
      <c r="A74" t="s">
        <v>81</v>
      </c>
      <c r="B74" t="s">
        <v>165</v>
      </c>
      <c r="C74" t="s">
        <v>170</v>
      </c>
      <c r="D74" t="s">
        <v>174</v>
      </c>
      <c r="E74" s="7">
        <v>56512</v>
      </c>
      <c r="F74" s="2">
        <v>42512</v>
      </c>
      <c r="G74" s="10"/>
      <c r="H74" s="9" t="str">
        <f t="shared" si="1"/>
        <v/>
      </c>
      <c r="I74" t="s">
        <v>179</v>
      </c>
      <c r="J74" t="s">
        <v>184</v>
      </c>
    </row>
    <row r="75" spans="1:10" x14ac:dyDescent="0.3">
      <c r="A75" t="s">
        <v>82</v>
      </c>
      <c r="B75" t="s">
        <v>161</v>
      </c>
      <c r="C75" t="s">
        <v>168</v>
      </c>
      <c r="D75" t="s">
        <v>174</v>
      </c>
      <c r="E75" s="7">
        <v>91101</v>
      </c>
      <c r="F75" s="2">
        <v>42519</v>
      </c>
      <c r="G75" s="10">
        <v>4</v>
      </c>
      <c r="H75" s="9" t="str">
        <f t="shared" si="1"/>
        <v>Good</v>
      </c>
      <c r="I75" t="s">
        <v>181</v>
      </c>
      <c r="J75" t="s">
        <v>184</v>
      </c>
    </row>
    <row r="76" spans="1:10" x14ac:dyDescent="0.3">
      <c r="A76" t="s">
        <v>83</v>
      </c>
      <c r="B76" t="s">
        <v>163</v>
      </c>
      <c r="D76" t="s">
        <v>172</v>
      </c>
      <c r="E76" s="7">
        <v>41243</v>
      </c>
      <c r="F76" s="2">
        <v>42526</v>
      </c>
      <c r="G76" s="10"/>
      <c r="H76" s="9" t="str">
        <f t="shared" si="1"/>
        <v/>
      </c>
      <c r="J76" t="s">
        <v>184</v>
      </c>
    </row>
    <row r="77" spans="1:10" x14ac:dyDescent="0.3">
      <c r="A77" t="s">
        <v>84</v>
      </c>
      <c r="C77" t="s">
        <v>168</v>
      </c>
      <c r="D77" t="s">
        <v>171</v>
      </c>
      <c r="E77" s="7">
        <v>96142</v>
      </c>
      <c r="F77" s="2">
        <v>42533</v>
      </c>
      <c r="G77" s="10">
        <v>1</v>
      </c>
      <c r="H77" s="9" t="str">
        <f t="shared" si="1"/>
        <v>Bad</v>
      </c>
      <c r="I77" t="s">
        <v>179</v>
      </c>
      <c r="J77" t="s">
        <v>184</v>
      </c>
    </row>
    <row r="78" spans="1:10" x14ac:dyDescent="0.3">
      <c r="A78" t="s">
        <v>85</v>
      </c>
      <c r="B78" t="s">
        <v>159</v>
      </c>
      <c r="C78" t="s">
        <v>169</v>
      </c>
      <c r="D78" t="s">
        <v>174</v>
      </c>
      <c r="E78" s="7">
        <v>94301</v>
      </c>
      <c r="F78" s="2">
        <v>42540</v>
      </c>
      <c r="G78" s="10">
        <v>1</v>
      </c>
      <c r="H78" s="9" t="str">
        <f t="shared" si="1"/>
        <v>Bad</v>
      </c>
      <c r="I78" t="s">
        <v>180</v>
      </c>
      <c r="J78" t="s">
        <v>184</v>
      </c>
    </row>
    <row r="79" spans="1:10" x14ac:dyDescent="0.3">
      <c r="A79" t="s">
        <v>86</v>
      </c>
      <c r="B79" t="s">
        <v>162</v>
      </c>
      <c r="D79" t="s">
        <v>175</v>
      </c>
      <c r="E79" s="7">
        <v>69166</v>
      </c>
      <c r="F79" s="2">
        <v>42547</v>
      </c>
      <c r="G79" s="10">
        <v>1</v>
      </c>
      <c r="H79" s="9" t="str">
        <f t="shared" si="1"/>
        <v>Bad</v>
      </c>
      <c r="I79" t="s">
        <v>181</v>
      </c>
      <c r="J79" t="s">
        <v>184</v>
      </c>
    </row>
    <row r="80" spans="1:10" x14ac:dyDescent="0.3">
      <c r="A80" t="s">
        <v>87</v>
      </c>
      <c r="B80" t="s">
        <v>163</v>
      </c>
      <c r="D80" t="s">
        <v>175</v>
      </c>
      <c r="E80" s="7">
        <v>78245</v>
      </c>
      <c r="F80" s="2">
        <v>42554</v>
      </c>
      <c r="G80" s="10">
        <v>2</v>
      </c>
      <c r="H80" s="9" t="str">
        <f t="shared" si="1"/>
        <v>Bad</v>
      </c>
      <c r="J80" t="s">
        <v>184</v>
      </c>
    </row>
    <row r="81" spans="1:10" x14ac:dyDescent="0.3">
      <c r="A81" t="s">
        <v>88</v>
      </c>
      <c r="B81" t="s">
        <v>164</v>
      </c>
      <c r="C81" t="s">
        <v>168</v>
      </c>
      <c r="D81" t="s">
        <v>173</v>
      </c>
      <c r="E81" s="7">
        <v>66079</v>
      </c>
      <c r="F81" s="2">
        <v>42561</v>
      </c>
      <c r="G81" s="10">
        <v>2</v>
      </c>
      <c r="H81" s="9" t="str">
        <f t="shared" si="1"/>
        <v>Bad</v>
      </c>
      <c r="I81" t="s">
        <v>179</v>
      </c>
      <c r="J81" t="s">
        <v>184</v>
      </c>
    </row>
    <row r="82" spans="1:10" x14ac:dyDescent="0.3">
      <c r="A82" t="s">
        <v>89</v>
      </c>
      <c r="B82" t="s">
        <v>159</v>
      </c>
      <c r="C82" t="s">
        <v>170</v>
      </c>
      <c r="D82" t="s">
        <v>174</v>
      </c>
      <c r="E82" s="7" t="s">
        <v>177</v>
      </c>
      <c r="G82" s="10"/>
      <c r="H82" s="9" t="str">
        <f t="shared" si="1"/>
        <v/>
      </c>
      <c r="J82" t="s">
        <v>184</v>
      </c>
    </row>
    <row r="83" spans="1:10" x14ac:dyDescent="0.3">
      <c r="A83" t="s">
        <v>90</v>
      </c>
      <c r="B83" t="s">
        <v>162</v>
      </c>
      <c r="C83" t="s">
        <v>168</v>
      </c>
      <c r="D83" t="s">
        <v>173</v>
      </c>
      <c r="E83" s="7">
        <v>95621</v>
      </c>
      <c r="F83" s="2">
        <v>42575</v>
      </c>
      <c r="G83" s="10">
        <v>3</v>
      </c>
      <c r="H83" s="9" t="str">
        <f t="shared" si="1"/>
        <v>Good</v>
      </c>
      <c r="I83" t="s">
        <v>181</v>
      </c>
      <c r="J83" t="s">
        <v>184</v>
      </c>
    </row>
    <row r="84" spans="1:10" x14ac:dyDescent="0.3">
      <c r="A84" t="s">
        <v>91</v>
      </c>
      <c r="B84" t="s">
        <v>159</v>
      </c>
      <c r="C84" t="s">
        <v>169</v>
      </c>
      <c r="D84" t="s">
        <v>175</v>
      </c>
      <c r="E84" s="7">
        <v>42262</v>
      </c>
      <c r="F84" s="2">
        <v>42582</v>
      </c>
      <c r="G84" s="10">
        <v>1</v>
      </c>
      <c r="H84" s="9" t="str">
        <f t="shared" si="1"/>
        <v>Bad</v>
      </c>
      <c r="J84" t="s">
        <v>184</v>
      </c>
    </row>
    <row r="85" spans="1:10" x14ac:dyDescent="0.3">
      <c r="A85" t="s">
        <v>92</v>
      </c>
      <c r="B85" t="s">
        <v>163</v>
      </c>
      <c r="C85" t="s">
        <v>168</v>
      </c>
      <c r="D85" t="s">
        <v>174</v>
      </c>
      <c r="E85" s="7">
        <v>99621</v>
      </c>
      <c r="F85" s="2">
        <v>42589</v>
      </c>
      <c r="G85" s="10"/>
      <c r="H85" s="9" t="str">
        <f t="shared" si="1"/>
        <v/>
      </c>
      <c r="I85" t="s">
        <v>179</v>
      </c>
      <c r="J85" t="s">
        <v>184</v>
      </c>
    </row>
    <row r="86" spans="1:10" x14ac:dyDescent="0.3">
      <c r="A86" t="s">
        <v>93</v>
      </c>
      <c r="B86" t="s">
        <v>161</v>
      </c>
      <c r="C86" t="s">
        <v>170</v>
      </c>
      <c r="D86" t="s">
        <v>174</v>
      </c>
      <c r="E86" s="7">
        <v>44682</v>
      </c>
      <c r="F86" s="2">
        <v>42596</v>
      </c>
      <c r="G86" s="10">
        <v>4</v>
      </c>
      <c r="H86" s="9" t="str">
        <f t="shared" si="1"/>
        <v>Good</v>
      </c>
      <c r="I86" t="s">
        <v>181</v>
      </c>
      <c r="J86" t="s">
        <v>184</v>
      </c>
    </row>
    <row r="87" spans="1:10" x14ac:dyDescent="0.3">
      <c r="A87" t="s">
        <v>94</v>
      </c>
      <c r="B87" t="s">
        <v>164</v>
      </c>
      <c r="C87" t="s">
        <v>166</v>
      </c>
      <c r="E87" s="7">
        <v>35163</v>
      </c>
      <c r="F87" s="2">
        <v>42603</v>
      </c>
      <c r="G87" s="10">
        <v>5</v>
      </c>
      <c r="H87" s="9" t="str">
        <f t="shared" si="1"/>
        <v>Excellent</v>
      </c>
      <c r="I87" t="s">
        <v>179</v>
      </c>
      <c r="J87" t="s">
        <v>184</v>
      </c>
    </row>
    <row r="88" spans="1:10" x14ac:dyDescent="0.3">
      <c r="A88" t="s">
        <v>95</v>
      </c>
      <c r="B88" t="s">
        <v>164</v>
      </c>
      <c r="C88" t="s">
        <v>169</v>
      </c>
      <c r="D88" t="s">
        <v>174</v>
      </c>
      <c r="E88" s="7">
        <v>33483</v>
      </c>
      <c r="F88" s="2">
        <v>42610</v>
      </c>
      <c r="G88" s="10">
        <v>4</v>
      </c>
      <c r="H88" s="9" t="str">
        <f t="shared" si="1"/>
        <v>Good</v>
      </c>
      <c r="I88" t="s">
        <v>180</v>
      </c>
      <c r="J88" t="s">
        <v>184</v>
      </c>
    </row>
    <row r="89" spans="1:10" x14ac:dyDescent="0.3">
      <c r="A89" t="s">
        <v>96</v>
      </c>
      <c r="B89" t="s">
        <v>163</v>
      </c>
      <c r="C89" t="s">
        <v>167</v>
      </c>
      <c r="D89" t="s">
        <v>172</v>
      </c>
      <c r="E89" s="7">
        <v>55303</v>
      </c>
      <c r="F89" s="2">
        <v>42617</v>
      </c>
      <c r="G89" s="10">
        <v>4</v>
      </c>
      <c r="H89" s="9" t="str">
        <f t="shared" si="1"/>
        <v>Good</v>
      </c>
      <c r="I89" t="s">
        <v>180</v>
      </c>
      <c r="J89" t="s">
        <v>184</v>
      </c>
    </row>
    <row r="90" spans="1:10" x14ac:dyDescent="0.3">
      <c r="A90" t="s">
        <v>97</v>
      </c>
      <c r="B90" t="s">
        <v>164</v>
      </c>
      <c r="C90" t="s">
        <v>169</v>
      </c>
      <c r="E90" s="7">
        <v>63434</v>
      </c>
      <c r="F90" s="2">
        <v>42624</v>
      </c>
      <c r="G90" s="10">
        <v>3</v>
      </c>
      <c r="H90" s="9" t="str">
        <f t="shared" si="1"/>
        <v>Good</v>
      </c>
      <c r="J90" t="s">
        <v>184</v>
      </c>
    </row>
    <row r="91" spans="1:10" x14ac:dyDescent="0.3">
      <c r="A91" t="s">
        <v>98</v>
      </c>
      <c r="B91" t="s">
        <v>162</v>
      </c>
      <c r="D91" t="s">
        <v>176</v>
      </c>
      <c r="E91" s="7">
        <v>38830</v>
      </c>
      <c r="F91" s="2">
        <v>42631</v>
      </c>
      <c r="G91" s="10">
        <v>3</v>
      </c>
      <c r="H91" s="9" t="str">
        <f t="shared" si="1"/>
        <v>Good</v>
      </c>
      <c r="I91" t="s">
        <v>179</v>
      </c>
      <c r="J91" t="s">
        <v>184</v>
      </c>
    </row>
    <row r="92" spans="1:10" x14ac:dyDescent="0.3">
      <c r="A92" t="s">
        <v>99</v>
      </c>
      <c r="C92" t="s">
        <v>170</v>
      </c>
      <c r="D92" t="s">
        <v>175</v>
      </c>
      <c r="E92" s="7">
        <v>50741</v>
      </c>
      <c r="F92" s="2">
        <v>42638</v>
      </c>
      <c r="G92" s="10">
        <v>3</v>
      </c>
      <c r="H92" s="9" t="str">
        <f t="shared" si="1"/>
        <v>Good</v>
      </c>
      <c r="I92" t="s">
        <v>178</v>
      </c>
      <c r="J92" t="s">
        <v>184</v>
      </c>
    </row>
    <row r="93" spans="1:10" x14ac:dyDescent="0.3">
      <c r="A93" t="s">
        <v>100</v>
      </c>
      <c r="B93" t="s">
        <v>160</v>
      </c>
      <c r="C93" t="s">
        <v>167</v>
      </c>
      <c r="D93" t="s">
        <v>176</v>
      </c>
      <c r="E93" s="7">
        <v>69420</v>
      </c>
      <c r="F93" s="2">
        <v>42645</v>
      </c>
      <c r="G93" s="10">
        <v>1</v>
      </c>
      <c r="H93" s="9" t="str">
        <f t="shared" si="1"/>
        <v>Bad</v>
      </c>
      <c r="I93" t="s">
        <v>180</v>
      </c>
      <c r="J93" t="s">
        <v>184</v>
      </c>
    </row>
    <row r="94" spans="1:10" x14ac:dyDescent="0.3">
      <c r="A94" t="s">
        <v>101</v>
      </c>
      <c r="B94" t="s">
        <v>162</v>
      </c>
      <c r="C94" t="s">
        <v>169</v>
      </c>
      <c r="E94" s="7">
        <v>80588</v>
      </c>
      <c r="F94" s="2">
        <v>42652</v>
      </c>
      <c r="G94" s="10">
        <v>5</v>
      </c>
      <c r="H94" s="9" t="str">
        <f t="shared" si="1"/>
        <v>Excellent</v>
      </c>
      <c r="I94" t="s">
        <v>180</v>
      </c>
      <c r="J94" t="s">
        <v>184</v>
      </c>
    </row>
    <row r="95" spans="1:10" x14ac:dyDescent="0.3">
      <c r="A95" t="s">
        <v>102</v>
      </c>
      <c r="B95" t="s">
        <v>160</v>
      </c>
      <c r="D95" t="s">
        <v>173</v>
      </c>
      <c r="E95" s="7">
        <v>76238</v>
      </c>
      <c r="F95" s="2">
        <v>42659</v>
      </c>
      <c r="G95" s="10">
        <v>4</v>
      </c>
      <c r="H95" s="9" t="str">
        <f t="shared" si="1"/>
        <v>Good</v>
      </c>
      <c r="I95" t="s">
        <v>180</v>
      </c>
      <c r="J95" t="s">
        <v>184</v>
      </c>
    </row>
    <row r="96" spans="1:10" x14ac:dyDescent="0.3">
      <c r="A96" t="s">
        <v>103</v>
      </c>
      <c r="B96" t="s">
        <v>165</v>
      </c>
      <c r="C96" t="s">
        <v>169</v>
      </c>
      <c r="D96" t="s">
        <v>174</v>
      </c>
      <c r="E96" s="7">
        <v>33264</v>
      </c>
      <c r="F96" s="2">
        <v>42666</v>
      </c>
      <c r="G96" s="10"/>
      <c r="H96" s="9" t="str">
        <f t="shared" si="1"/>
        <v/>
      </c>
      <c r="I96" t="s">
        <v>181</v>
      </c>
      <c r="J96" t="s">
        <v>184</v>
      </c>
    </row>
    <row r="97" spans="1:10" x14ac:dyDescent="0.3">
      <c r="A97" t="s">
        <v>104</v>
      </c>
      <c r="B97" t="s">
        <v>160</v>
      </c>
      <c r="C97" t="s">
        <v>166</v>
      </c>
      <c r="D97" t="s">
        <v>176</v>
      </c>
      <c r="E97" s="7">
        <v>96101</v>
      </c>
      <c r="F97" s="2">
        <v>42673</v>
      </c>
      <c r="G97" s="10"/>
      <c r="H97" s="9" t="str">
        <f t="shared" si="1"/>
        <v/>
      </c>
      <c r="I97" t="s">
        <v>179</v>
      </c>
      <c r="J97" t="s">
        <v>184</v>
      </c>
    </row>
    <row r="98" spans="1:10" x14ac:dyDescent="0.3">
      <c r="A98" t="s">
        <v>105</v>
      </c>
      <c r="B98" t="s">
        <v>162</v>
      </c>
      <c r="C98" t="s">
        <v>166</v>
      </c>
      <c r="D98" t="s">
        <v>173</v>
      </c>
      <c r="E98" s="7">
        <v>72939</v>
      </c>
      <c r="F98" s="2">
        <v>42680</v>
      </c>
      <c r="G98" s="10">
        <v>3</v>
      </c>
      <c r="H98" s="9" t="str">
        <f t="shared" si="1"/>
        <v>Good</v>
      </c>
      <c r="J98" t="s">
        <v>184</v>
      </c>
    </row>
    <row r="99" spans="1:10" x14ac:dyDescent="0.3">
      <c r="A99" t="s">
        <v>106</v>
      </c>
      <c r="B99" t="s">
        <v>163</v>
      </c>
      <c r="C99" t="s">
        <v>167</v>
      </c>
      <c r="D99" t="s">
        <v>172</v>
      </c>
      <c r="E99" s="7">
        <v>89333</v>
      </c>
      <c r="F99" s="2">
        <v>42687</v>
      </c>
      <c r="G99" s="10">
        <v>1</v>
      </c>
      <c r="H99" s="9" t="str">
        <f t="shared" si="1"/>
        <v>Bad</v>
      </c>
      <c r="I99" t="s">
        <v>180</v>
      </c>
      <c r="J99" t="s">
        <v>184</v>
      </c>
    </row>
    <row r="100" spans="1:10" x14ac:dyDescent="0.3">
      <c r="A100" t="s">
        <v>107</v>
      </c>
      <c r="B100" t="s">
        <v>165</v>
      </c>
      <c r="C100" t="s">
        <v>169</v>
      </c>
      <c r="D100" t="s">
        <v>176</v>
      </c>
      <c r="E100" s="7">
        <v>70470</v>
      </c>
      <c r="F100" s="2">
        <v>42694</v>
      </c>
      <c r="G100" s="10"/>
      <c r="H100" s="9" t="str">
        <f t="shared" si="1"/>
        <v/>
      </c>
      <c r="I100" t="s">
        <v>180</v>
      </c>
      <c r="J100" t="s">
        <v>184</v>
      </c>
    </row>
    <row r="101" spans="1:10" x14ac:dyDescent="0.3">
      <c r="A101" t="s">
        <v>108</v>
      </c>
      <c r="B101" t="s">
        <v>159</v>
      </c>
      <c r="C101" t="s">
        <v>170</v>
      </c>
      <c r="D101" t="s">
        <v>173</v>
      </c>
      <c r="E101" s="7">
        <v>70096</v>
      </c>
      <c r="F101" s="2">
        <v>42701</v>
      </c>
      <c r="G101" s="10">
        <v>4</v>
      </c>
      <c r="H101" s="9" t="str">
        <f t="shared" si="1"/>
        <v>Good</v>
      </c>
      <c r="I101" t="s">
        <v>180</v>
      </c>
      <c r="J101" t="s">
        <v>184</v>
      </c>
    </row>
    <row r="102" spans="1:10" x14ac:dyDescent="0.3">
      <c r="A102" t="s">
        <v>109</v>
      </c>
      <c r="B102" t="s">
        <v>165</v>
      </c>
      <c r="C102" t="s">
        <v>170</v>
      </c>
      <c r="D102" t="s">
        <v>171</v>
      </c>
      <c r="E102" s="7" t="s">
        <v>177</v>
      </c>
      <c r="F102" s="2">
        <v>42708</v>
      </c>
      <c r="G102" s="10">
        <v>2</v>
      </c>
      <c r="H102" s="9" t="str">
        <f t="shared" si="1"/>
        <v>Bad</v>
      </c>
      <c r="I102" t="s">
        <v>179</v>
      </c>
      <c r="J102" t="s">
        <v>184</v>
      </c>
    </row>
    <row r="103" spans="1:10" x14ac:dyDescent="0.3">
      <c r="A103" t="s">
        <v>110</v>
      </c>
      <c r="B103" t="s">
        <v>165</v>
      </c>
      <c r="C103" t="s">
        <v>169</v>
      </c>
      <c r="D103" t="s">
        <v>172</v>
      </c>
      <c r="E103" s="7">
        <v>66503</v>
      </c>
      <c r="F103" s="2">
        <v>42715</v>
      </c>
      <c r="G103" s="10"/>
      <c r="H103" s="9" t="str">
        <f t="shared" si="1"/>
        <v/>
      </c>
      <c r="I103" t="s">
        <v>180</v>
      </c>
      <c r="J103" t="s">
        <v>184</v>
      </c>
    </row>
    <row r="104" spans="1:10" x14ac:dyDescent="0.3">
      <c r="A104" t="s">
        <v>111</v>
      </c>
      <c r="B104" t="s">
        <v>160</v>
      </c>
      <c r="C104" t="s">
        <v>167</v>
      </c>
      <c r="D104" t="s">
        <v>172</v>
      </c>
      <c r="E104" s="7">
        <v>42096</v>
      </c>
      <c r="F104" s="2">
        <v>42722</v>
      </c>
      <c r="G104" s="10"/>
      <c r="H104" s="9" t="str">
        <f t="shared" si="1"/>
        <v/>
      </c>
      <c r="I104" t="s">
        <v>181</v>
      </c>
      <c r="J104" t="s">
        <v>184</v>
      </c>
    </row>
    <row r="105" spans="1:10" x14ac:dyDescent="0.3">
      <c r="A105" t="s">
        <v>112</v>
      </c>
      <c r="B105" t="s">
        <v>160</v>
      </c>
      <c r="C105" t="s">
        <v>170</v>
      </c>
      <c r="E105" s="7">
        <v>79145</v>
      </c>
      <c r="F105" s="2">
        <v>42729</v>
      </c>
      <c r="G105" s="10">
        <v>5</v>
      </c>
      <c r="H105" s="9" t="str">
        <f t="shared" si="1"/>
        <v>Excellent</v>
      </c>
      <c r="I105" t="s">
        <v>179</v>
      </c>
      <c r="J105" t="s">
        <v>184</v>
      </c>
    </row>
    <row r="106" spans="1:10" x14ac:dyDescent="0.3">
      <c r="A106" t="s">
        <v>113</v>
      </c>
      <c r="B106" t="s">
        <v>162</v>
      </c>
      <c r="D106" t="s">
        <v>176</v>
      </c>
      <c r="E106" s="7">
        <v>61556</v>
      </c>
      <c r="F106" s="2">
        <v>42736</v>
      </c>
      <c r="G106" s="10">
        <v>1</v>
      </c>
      <c r="H106" s="9" t="str">
        <f t="shared" si="1"/>
        <v>Bad</v>
      </c>
      <c r="J106" t="s">
        <v>184</v>
      </c>
    </row>
    <row r="107" spans="1:10" x14ac:dyDescent="0.3">
      <c r="A107" t="s">
        <v>114</v>
      </c>
      <c r="C107" t="s">
        <v>167</v>
      </c>
      <c r="D107" t="s">
        <v>175</v>
      </c>
      <c r="E107" s="7">
        <v>87963</v>
      </c>
      <c r="F107" s="2">
        <v>42743</v>
      </c>
      <c r="G107" s="10">
        <v>3</v>
      </c>
      <c r="H107" s="9" t="str">
        <f t="shared" si="1"/>
        <v>Good</v>
      </c>
      <c r="I107" t="s">
        <v>179</v>
      </c>
      <c r="J107" t="s">
        <v>184</v>
      </c>
    </row>
    <row r="108" spans="1:10" x14ac:dyDescent="0.3">
      <c r="A108" t="s">
        <v>115</v>
      </c>
      <c r="B108" t="s">
        <v>159</v>
      </c>
      <c r="C108" t="s">
        <v>169</v>
      </c>
      <c r="E108" s="7">
        <v>48325</v>
      </c>
      <c r="F108" s="2">
        <v>42750</v>
      </c>
      <c r="G108" s="10"/>
      <c r="H108" s="9" t="str">
        <f t="shared" si="1"/>
        <v/>
      </c>
      <c r="I108" t="s">
        <v>180</v>
      </c>
      <c r="J108" t="s">
        <v>184</v>
      </c>
    </row>
    <row r="109" spans="1:10" x14ac:dyDescent="0.3">
      <c r="A109" t="s">
        <v>116</v>
      </c>
      <c r="B109" t="s">
        <v>163</v>
      </c>
      <c r="C109" t="s">
        <v>170</v>
      </c>
      <c r="D109" t="s">
        <v>176</v>
      </c>
      <c r="E109" s="7">
        <v>86412</v>
      </c>
      <c r="F109" s="2">
        <v>42757</v>
      </c>
      <c r="G109" s="10">
        <v>2</v>
      </c>
      <c r="H109" s="9" t="str">
        <f t="shared" si="1"/>
        <v>Bad</v>
      </c>
      <c r="I109" t="s">
        <v>181</v>
      </c>
      <c r="J109" t="s">
        <v>184</v>
      </c>
    </row>
    <row r="110" spans="1:10" x14ac:dyDescent="0.3">
      <c r="A110" t="s">
        <v>117</v>
      </c>
      <c r="B110" t="s">
        <v>163</v>
      </c>
      <c r="C110" t="s">
        <v>167</v>
      </c>
      <c r="E110" s="7">
        <v>66761</v>
      </c>
      <c r="F110" s="2">
        <v>42764</v>
      </c>
      <c r="G110" s="10">
        <v>1</v>
      </c>
      <c r="H110" s="9" t="str">
        <f t="shared" si="1"/>
        <v>Bad</v>
      </c>
      <c r="J110" t="s">
        <v>184</v>
      </c>
    </row>
    <row r="111" spans="1:10" x14ac:dyDescent="0.3">
      <c r="A111" t="s">
        <v>118</v>
      </c>
      <c r="B111" t="s">
        <v>162</v>
      </c>
      <c r="D111" t="s">
        <v>174</v>
      </c>
      <c r="E111" s="7">
        <v>88850</v>
      </c>
      <c r="F111" s="2">
        <v>42771</v>
      </c>
      <c r="G111" s="10">
        <v>1</v>
      </c>
      <c r="H111" s="9" t="str">
        <f t="shared" si="1"/>
        <v>Bad</v>
      </c>
      <c r="I111" t="s">
        <v>181</v>
      </c>
      <c r="J111" t="s">
        <v>184</v>
      </c>
    </row>
    <row r="112" spans="1:10" x14ac:dyDescent="0.3">
      <c r="A112" t="s">
        <v>119</v>
      </c>
      <c r="B112" t="s">
        <v>164</v>
      </c>
      <c r="C112" t="s">
        <v>168</v>
      </c>
      <c r="D112" t="s">
        <v>174</v>
      </c>
      <c r="E112" s="7">
        <v>31293</v>
      </c>
      <c r="G112" s="10">
        <v>2</v>
      </c>
      <c r="H112" s="9" t="str">
        <f t="shared" si="1"/>
        <v>Bad</v>
      </c>
      <c r="I112" t="s">
        <v>181</v>
      </c>
      <c r="J112" t="s">
        <v>184</v>
      </c>
    </row>
    <row r="113" spans="1:10" x14ac:dyDescent="0.3">
      <c r="A113" t="s">
        <v>120</v>
      </c>
      <c r="B113" t="s">
        <v>164</v>
      </c>
      <c r="C113" t="s">
        <v>169</v>
      </c>
      <c r="D113" t="s">
        <v>173</v>
      </c>
      <c r="E113" s="7">
        <v>34306</v>
      </c>
      <c r="F113" s="2">
        <v>42785</v>
      </c>
      <c r="G113" s="10">
        <v>5</v>
      </c>
      <c r="H113" s="9" t="str">
        <f t="shared" si="1"/>
        <v>Excellent</v>
      </c>
      <c r="I113" t="s">
        <v>181</v>
      </c>
      <c r="J113" t="s">
        <v>184</v>
      </c>
    </row>
    <row r="114" spans="1:10" x14ac:dyDescent="0.3">
      <c r="A114" t="s">
        <v>121</v>
      </c>
      <c r="B114" t="s">
        <v>159</v>
      </c>
      <c r="C114" t="s">
        <v>166</v>
      </c>
      <c r="D114" t="s">
        <v>174</v>
      </c>
      <c r="E114" s="7">
        <v>78330</v>
      </c>
      <c r="F114" s="2">
        <v>42792</v>
      </c>
      <c r="G114" s="10"/>
      <c r="H114" s="9" t="str">
        <f t="shared" si="1"/>
        <v/>
      </c>
      <c r="I114" t="s">
        <v>179</v>
      </c>
      <c r="J114" t="s">
        <v>184</v>
      </c>
    </row>
    <row r="115" spans="1:10" x14ac:dyDescent="0.3">
      <c r="A115" t="s">
        <v>122</v>
      </c>
      <c r="B115" t="s">
        <v>160</v>
      </c>
      <c r="C115" t="s">
        <v>169</v>
      </c>
      <c r="D115" t="s">
        <v>173</v>
      </c>
      <c r="E115" s="7">
        <v>47653</v>
      </c>
      <c r="F115" s="2">
        <v>42799</v>
      </c>
      <c r="G115" s="10">
        <v>1</v>
      </c>
      <c r="H115" s="9" t="str">
        <f t="shared" si="1"/>
        <v>Bad</v>
      </c>
      <c r="I115" t="s">
        <v>180</v>
      </c>
      <c r="J115" t="s">
        <v>184</v>
      </c>
    </row>
    <row r="116" spans="1:10" x14ac:dyDescent="0.3">
      <c r="A116" t="s">
        <v>123</v>
      </c>
      <c r="B116" t="s">
        <v>159</v>
      </c>
      <c r="C116" t="s">
        <v>170</v>
      </c>
      <c r="D116" t="s">
        <v>175</v>
      </c>
      <c r="E116" s="7">
        <v>44627</v>
      </c>
      <c r="F116" s="2">
        <v>42806</v>
      </c>
      <c r="G116" s="10">
        <v>4</v>
      </c>
      <c r="H116" s="9" t="str">
        <f t="shared" si="1"/>
        <v>Good</v>
      </c>
      <c r="J116" t="s">
        <v>184</v>
      </c>
    </row>
    <row r="117" spans="1:10" x14ac:dyDescent="0.3">
      <c r="A117" t="s">
        <v>124</v>
      </c>
      <c r="B117" t="s">
        <v>165</v>
      </c>
      <c r="C117" t="s">
        <v>167</v>
      </c>
      <c r="D117" t="s">
        <v>172</v>
      </c>
      <c r="E117" s="7">
        <v>92343</v>
      </c>
      <c r="F117" s="2">
        <v>42813</v>
      </c>
      <c r="G117" s="10">
        <v>4</v>
      </c>
      <c r="H117" s="9" t="str">
        <f t="shared" si="1"/>
        <v>Good</v>
      </c>
      <c r="I117" t="s">
        <v>181</v>
      </c>
      <c r="J117" t="s">
        <v>184</v>
      </c>
    </row>
    <row r="118" spans="1:10" x14ac:dyDescent="0.3">
      <c r="A118" t="s">
        <v>125</v>
      </c>
      <c r="B118" t="s">
        <v>165</v>
      </c>
      <c r="C118" t="s">
        <v>170</v>
      </c>
      <c r="D118" t="s">
        <v>176</v>
      </c>
      <c r="E118" s="7">
        <v>38837</v>
      </c>
      <c r="F118" s="2">
        <v>42820</v>
      </c>
      <c r="G118" s="10">
        <v>5</v>
      </c>
      <c r="H118" s="9" t="str">
        <f t="shared" si="1"/>
        <v>Excellent</v>
      </c>
      <c r="I118" t="s">
        <v>181</v>
      </c>
      <c r="J118" t="s">
        <v>184</v>
      </c>
    </row>
    <row r="119" spans="1:10" x14ac:dyDescent="0.3">
      <c r="A119" t="s">
        <v>126</v>
      </c>
      <c r="B119" t="s">
        <v>165</v>
      </c>
      <c r="C119" t="s">
        <v>170</v>
      </c>
      <c r="E119" s="7">
        <v>73483</v>
      </c>
      <c r="F119" s="2">
        <v>42827</v>
      </c>
      <c r="G119" s="10">
        <v>1</v>
      </c>
      <c r="H119" s="9" t="str">
        <f t="shared" si="1"/>
        <v>Bad</v>
      </c>
      <c r="J119" t="s">
        <v>184</v>
      </c>
    </row>
    <row r="120" spans="1:10" x14ac:dyDescent="0.3">
      <c r="A120" t="s">
        <v>127</v>
      </c>
      <c r="B120" t="s">
        <v>164</v>
      </c>
      <c r="C120" t="s">
        <v>168</v>
      </c>
      <c r="D120" t="s">
        <v>174</v>
      </c>
      <c r="E120" s="7">
        <v>95032</v>
      </c>
      <c r="F120" s="2">
        <v>42834</v>
      </c>
      <c r="G120" s="10">
        <v>3</v>
      </c>
      <c r="H120" s="9" t="str">
        <f t="shared" si="1"/>
        <v>Good</v>
      </c>
      <c r="J120" t="s">
        <v>184</v>
      </c>
    </row>
    <row r="121" spans="1:10" x14ac:dyDescent="0.3">
      <c r="A121" t="s">
        <v>128</v>
      </c>
      <c r="B121" t="s">
        <v>159</v>
      </c>
      <c r="C121" t="s">
        <v>168</v>
      </c>
      <c r="D121" t="s">
        <v>176</v>
      </c>
      <c r="E121" s="7">
        <v>44358</v>
      </c>
      <c r="F121" s="2">
        <v>42841</v>
      </c>
      <c r="G121" s="10"/>
      <c r="H121" s="9" t="str">
        <f t="shared" si="1"/>
        <v/>
      </c>
      <c r="I121" t="s">
        <v>181</v>
      </c>
      <c r="J121" t="s">
        <v>184</v>
      </c>
    </row>
    <row r="122" spans="1:10" x14ac:dyDescent="0.3">
      <c r="A122" t="s">
        <v>129</v>
      </c>
      <c r="C122" t="s">
        <v>169</v>
      </c>
      <c r="D122" t="s">
        <v>173</v>
      </c>
      <c r="E122" s="7" t="s">
        <v>177</v>
      </c>
      <c r="G122" s="10">
        <v>5</v>
      </c>
      <c r="H122" s="9" t="str">
        <f t="shared" si="1"/>
        <v>Excellent</v>
      </c>
      <c r="I122" t="s">
        <v>178</v>
      </c>
      <c r="J122" t="s">
        <v>184</v>
      </c>
    </row>
    <row r="123" spans="1:10" x14ac:dyDescent="0.3">
      <c r="A123" t="s">
        <v>130</v>
      </c>
      <c r="B123" t="s">
        <v>164</v>
      </c>
      <c r="C123" t="s">
        <v>168</v>
      </c>
      <c r="D123" t="s">
        <v>173</v>
      </c>
      <c r="E123" s="7">
        <v>45676</v>
      </c>
      <c r="F123" s="2">
        <v>42855</v>
      </c>
      <c r="G123" s="10">
        <v>2</v>
      </c>
      <c r="H123" s="9" t="str">
        <f t="shared" si="1"/>
        <v>Bad</v>
      </c>
      <c r="J123" t="s">
        <v>184</v>
      </c>
    </row>
    <row r="124" spans="1:10" x14ac:dyDescent="0.3">
      <c r="A124" t="s">
        <v>131</v>
      </c>
      <c r="B124" t="s">
        <v>165</v>
      </c>
      <c r="C124" t="s">
        <v>168</v>
      </c>
      <c r="D124" t="s">
        <v>172</v>
      </c>
      <c r="E124" s="7">
        <v>52036</v>
      </c>
      <c r="F124" s="2">
        <v>42862</v>
      </c>
      <c r="G124" s="10">
        <v>3</v>
      </c>
      <c r="H124" s="9" t="str">
        <f t="shared" si="1"/>
        <v>Good</v>
      </c>
      <c r="I124" t="s">
        <v>180</v>
      </c>
      <c r="J124" t="s">
        <v>184</v>
      </c>
    </row>
    <row r="125" spans="1:10" x14ac:dyDescent="0.3">
      <c r="A125" t="s">
        <v>132</v>
      </c>
      <c r="B125" t="s">
        <v>162</v>
      </c>
      <c r="D125" t="s">
        <v>172</v>
      </c>
      <c r="E125" s="7">
        <v>30357</v>
      </c>
      <c r="F125" s="2">
        <v>42869</v>
      </c>
      <c r="G125" s="10">
        <v>5</v>
      </c>
      <c r="H125" s="9" t="str">
        <f t="shared" si="1"/>
        <v>Excellent</v>
      </c>
      <c r="I125" t="s">
        <v>180</v>
      </c>
      <c r="J125" t="s">
        <v>184</v>
      </c>
    </row>
    <row r="126" spans="1:10" x14ac:dyDescent="0.3">
      <c r="A126" t="s">
        <v>133</v>
      </c>
      <c r="B126" t="s">
        <v>161</v>
      </c>
      <c r="C126" t="s">
        <v>169</v>
      </c>
      <c r="E126" s="7">
        <v>60034</v>
      </c>
      <c r="F126" s="2">
        <v>42876</v>
      </c>
      <c r="G126" s="10">
        <v>1</v>
      </c>
      <c r="H126" s="9" t="str">
        <f t="shared" si="1"/>
        <v>Bad</v>
      </c>
      <c r="I126" t="s">
        <v>181</v>
      </c>
      <c r="J126" t="s">
        <v>184</v>
      </c>
    </row>
    <row r="127" spans="1:10" x14ac:dyDescent="0.3">
      <c r="A127" t="s">
        <v>134</v>
      </c>
      <c r="B127" t="s">
        <v>161</v>
      </c>
      <c r="C127" t="s">
        <v>166</v>
      </c>
      <c r="D127" t="s">
        <v>171</v>
      </c>
      <c r="E127" s="7">
        <v>90019</v>
      </c>
      <c r="F127" s="2">
        <v>42883</v>
      </c>
      <c r="G127" s="10">
        <v>5</v>
      </c>
      <c r="H127" s="9" t="str">
        <f t="shared" si="1"/>
        <v>Excellent</v>
      </c>
      <c r="J127" t="s">
        <v>184</v>
      </c>
    </row>
    <row r="128" spans="1:10" x14ac:dyDescent="0.3">
      <c r="A128" t="s">
        <v>135</v>
      </c>
      <c r="B128" t="s">
        <v>165</v>
      </c>
      <c r="D128" t="s">
        <v>172</v>
      </c>
      <c r="E128" s="7">
        <v>71494</v>
      </c>
      <c r="F128" s="2">
        <v>42890</v>
      </c>
      <c r="G128" s="10">
        <v>3</v>
      </c>
      <c r="H128" s="9" t="str">
        <f t="shared" si="1"/>
        <v>Good</v>
      </c>
      <c r="I128" t="s">
        <v>180</v>
      </c>
      <c r="J128" t="s">
        <v>184</v>
      </c>
    </row>
    <row r="129" spans="1:10" x14ac:dyDescent="0.3">
      <c r="A129" t="s">
        <v>136</v>
      </c>
      <c r="B129" t="s">
        <v>161</v>
      </c>
      <c r="C129" t="s">
        <v>166</v>
      </c>
      <c r="D129" t="s">
        <v>173</v>
      </c>
      <c r="E129" s="7">
        <v>91953</v>
      </c>
      <c r="F129" s="2">
        <v>42897</v>
      </c>
      <c r="G129" s="10">
        <v>2</v>
      </c>
      <c r="H129" s="9" t="str">
        <f t="shared" si="1"/>
        <v>Bad</v>
      </c>
      <c r="I129" t="s">
        <v>180</v>
      </c>
      <c r="J129" t="s">
        <v>184</v>
      </c>
    </row>
    <row r="130" spans="1:10" x14ac:dyDescent="0.3">
      <c r="A130" t="s">
        <v>137</v>
      </c>
      <c r="B130" t="s">
        <v>164</v>
      </c>
      <c r="C130" t="s">
        <v>168</v>
      </c>
      <c r="D130" t="s">
        <v>173</v>
      </c>
      <c r="E130" s="7">
        <v>30402</v>
      </c>
      <c r="F130" s="2">
        <v>42904</v>
      </c>
      <c r="G130" s="10">
        <v>1</v>
      </c>
      <c r="H130" s="9" t="str">
        <f t="shared" si="1"/>
        <v>Bad</v>
      </c>
      <c r="J130" t="s">
        <v>184</v>
      </c>
    </row>
    <row r="131" spans="1:10" x14ac:dyDescent="0.3">
      <c r="A131" t="s">
        <v>138</v>
      </c>
      <c r="B131" t="s">
        <v>165</v>
      </c>
      <c r="D131" t="s">
        <v>175</v>
      </c>
      <c r="E131" s="7">
        <v>62994</v>
      </c>
      <c r="F131" s="2">
        <v>42911</v>
      </c>
      <c r="G131" s="10"/>
      <c r="H131" s="9" t="str">
        <f t="shared" ref="H131:H151" si="2">IF(G131="","",IF(G131=5,"Excellent",IF(G131&gt;=3,"Good","Bad")))</f>
        <v/>
      </c>
      <c r="J131" t="s">
        <v>184</v>
      </c>
    </row>
    <row r="132" spans="1:10" x14ac:dyDescent="0.3">
      <c r="A132" t="s">
        <v>139</v>
      </c>
      <c r="B132" t="s">
        <v>160</v>
      </c>
      <c r="C132" t="s">
        <v>168</v>
      </c>
      <c r="D132" t="s">
        <v>174</v>
      </c>
      <c r="E132" s="7">
        <v>48289</v>
      </c>
      <c r="G132" s="10">
        <v>3</v>
      </c>
      <c r="H132" s="9" t="str">
        <f t="shared" si="2"/>
        <v>Good</v>
      </c>
      <c r="I132" t="s">
        <v>180</v>
      </c>
      <c r="J132" t="s">
        <v>184</v>
      </c>
    </row>
    <row r="133" spans="1:10" x14ac:dyDescent="0.3">
      <c r="A133" t="s">
        <v>140</v>
      </c>
      <c r="B133" t="s">
        <v>163</v>
      </c>
      <c r="C133" t="s">
        <v>170</v>
      </c>
      <c r="D133" t="s">
        <v>172</v>
      </c>
      <c r="E133" s="7">
        <v>34402</v>
      </c>
      <c r="F133" s="2">
        <v>42925</v>
      </c>
      <c r="G133" s="10">
        <v>3</v>
      </c>
      <c r="H133" s="9" t="str">
        <f t="shared" si="2"/>
        <v>Good</v>
      </c>
      <c r="I133" t="s">
        <v>179</v>
      </c>
      <c r="J133" t="s">
        <v>184</v>
      </c>
    </row>
    <row r="134" spans="1:10" x14ac:dyDescent="0.3">
      <c r="A134" t="s">
        <v>141</v>
      </c>
      <c r="B134" t="s">
        <v>159</v>
      </c>
      <c r="C134" t="s">
        <v>167</v>
      </c>
      <c r="D134" t="s">
        <v>173</v>
      </c>
      <c r="E134" s="7">
        <v>38678</v>
      </c>
      <c r="F134" s="2">
        <v>42932</v>
      </c>
      <c r="G134" s="10">
        <v>3</v>
      </c>
      <c r="H134" s="9" t="str">
        <f t="shared" si="2"/>
        <v>Good</v>
      </c>
      <c r="I134" t="s">
        <v>179</v>
      </c>
      <c r="J134" t="s">
        <v>184</v>
      </c>
    </row>
    <row r="135" spans="1:10" x14ac:dyDescent="0.3">
      <c r="A135" t="s">
        <v>142</v>
      </c>
      <c r="B135" t="s">
        <v>164</v>
      </c>
      <c r="C135" t="s">
        <v>167</v>
      </c>
      <c r="D135" t="s">
        <v>172</v>
      </c>
      <c r="E135" s="7">
        <v>45758</v>
      </c>
      <c r="F135" s="2">
        <v>42939</v>
      </c>
      <c r="G135" s="10">
        <v>3</v>
      </c>
      <c r="H135" s="9" t="str">
        <f t="shared" si="2"/>
        <v>Good</v>
      </c>
      <c r="J135" t="s">
        <v>184</v>
      </c>
    </row>
    <row r="136" spans="1:10" x14ac:dyDescent="0.3">
      <c r="A136" t="s">
        <v>143</v>
      </c>
      <c r="B136" t="s">
        <v>159</v>
      </c>
      <c r="C136" t="s">
        <v>170</v>
      </c>
      <c r="D136" t="s">
        <v>174</v>
      </c>
      <c r="E136" s="7">
        <v>62476</v>
      </c>
      <c r="F136" s="2">
        <v>42946</v>
      </c>
      <c r="G136" s="10">
        <v>1</v>
      </c>
      <c r="H136" s="9" t="str">
        <f t="shared" si="2"/>
        <v>Bad</v>
      </c>
      <c r="I136" t="s">
        <v>179</v>
      </c>
      <c r="J136" t="s">
        <v>184</v>
      </c>
    </row>
    <row r="137" spans="1:10" x14ac:dyDescent="0.3">
      <c r="A137" t="s">
        <v>144</v>
      </c>
      <c r="C137" t="s">
        <v>169</v>
      </c>
      <c r="D137" t="s">
        <v>175</v>
      </c>
      <c r="E137" s="7">
        <v>39280</v>
      </c>
      <c r="F137" s="2">
        <v>42953</v>
      </c>
      <c r="G137" s="10">
        <v>3</v>
      </c>
      <c r="H137" s="9" t="str">
        <f t="shared" si="2"/>
        <v>Good</v>
      </c>
      <c r="I137" t="s">
        <v>181</v>
      </c>
      <c r="J137" t="s">
        <v>184</v>
      </c>
    </row>
    <row r="138" spans="1:10" x14ac:dyDescent="0.3">
      <c r="A138" t="s">
        <v>145</v>
      </c>
      <c r="B138" t="s">
        <v>162</v>
      </c>
      <c r="C138" t="s">
        <v>166</v>
      </c>
      <c r="D138" t="s">
        <v>174</v>
      </c>
      <c r="E138" s="7">
        <v>60335</v>
      </c>
      <c r="F138" s="2">
        <v>42960</v>
      </c>
      <c r="G138" s="10">
        <v>4</v>
      </c>
      <c r="H138" s="9" t="str">
        <f t="shared" si="2"/>
        <v>Good</v>
      </c>
      <c r="I138" t="s">
        <v>179</v>
      </c>
      <c r="J138" t="s">
        <v>184</v>
      </c>
    </row>
    <row r="139" spans="1:10" x14ac:dyDescent="0.3">
      <c r="A139" t="s">
        <v>146</v>
      </c>
      <c r="B139" t="s">
        <v>164</v>
      </c>
      <c r="C139" t="s">
        <v>167</v>
      </c>
      <c r="D139" t="s">
        <v>172</v>
      </c>
      <c r="E139" s="7">
        <v>84968</v>
      </c>
      <c r="F139" s="2">
        <v>42967</v>
      </c>
      <c r="G139" s="10"/>
      <c r="H139" s="9" t="str">
        <f t="shared" si="2"/>
        <v/>
      </c>
      <c r="J139" t="s">
        <v>184</v>
      </c>
    </row>
    <row r="140" spans="1:10" x14ac:dyDescent="0.3">
      <c r="A140" t="s">
        <v>147</v>
      </c>
      <c r="B140" t="s">
        <v>164</v>
      </c>
      <c r="C140" t="s">
        <v>170</v>
      </c>
      <c r="D140" t="s">
        <v>176</v>
      </c>
      <c r="E140" s="7">
        <v>84750</v>
      </c>
      <c r="F140" s="2">
        <v>42974</v>
      </c>
      <c r="G140" s="10">
        <v>4</v>
      </c>
      <c r="H140" s="9" t="str">
        <f t="shared" si="2"/>
        <v>Good</v>
      </c>
      <c r="I140" t="s">
        <v>181</v>
      </c>
      <c r="J140" t="s">
        <v>184</v>
      </c>
    </row>
    <row r="141" spans="1:10" x14ac:dyDescent="0.3">
      <c r="A141" t="s">
        <v>148</v>
      </c>
      <c r="B141" t="s">
        <v>165</v>
      </c>
      <c r="C141" t="s">
        <v>169</v>
      </c>
      <c r="E141" s="7">
        <v>73348</v>
      </c>
      <c r="F141" s="2">
        <v>42981</v>
      </c>
      <c r="G141" s="10">
        <v>2</v>
      </c>
      <c r="H141" s="9" t="str">
        <f t="shared" si="2"/>
        <v>Bad</v>
      </c>
      <c r="J141" t="s">
        <v>184</v>
      </c>
    </row>
    <row r="142" spans="1:10" x14ac:dyDescent="0.3">
      <c r="A142" t="s">
        <v>149</v>
      </c>
      <c r="B142" t="s">
        <v>164</v>
      </c>
      <c r="C142" t="s">
        <v>168</v>
      </c>
      <c r="D142" t="s">
        <v>173</v>
      </c>
      <c r="E142" s="7" t="s">
        <v>177</v>
      </c>
      <c r="F142" s="2">
        <v>42988</v>
      </c>
      <c r="G142" s="10">
        <v>4</v>
      </c>
      <c r="H142" s="9" t="str">
        <f t="shared" si="2"/>
        <v>Good</v>
      </c>
      <c r="I142" t="s">
        <v>179</v>
      </c>
      <c r="J142" t="s">
        <v>184</v>
      </c>
    </row>
    <row r="143" spans="1:10" x14ac:dyDescent="0.3">
      <c r="A143" t="s">
        <v>150</v>
      </c>
      <c r="B143" t="s">
        <v>162</v>
      </c>
      <c r="C143" t="s">
        <v>170</v>
      </c>
      <c r="D143" t="s">
        <v>173</v>
      </c>
      <c r="E143" s="7">
        <v>66882</v>
      </c>
      <c r="F143" s="2">
        <v>42995</v>
      </c>
      <c r="G143" s="10">
        <v>5</v>
      </c>
      <c r="H143" s="9" t="str">
        <f t="shared" si="2"/>
        <v>Excellent</v>
      </c>
      <c r="I143" t="s">
        <v>179</v>
      </c>
      <c r="J143" t="s">
        <v>184</v>
      </c>
    </row>
    <row r="144" spans="1:10" x14ac:dyDescent="0.3">
      <c r="A144" t="s">
        <v>151</v>
      </c>
      <c r="B144" t="s">
        <v>160</v>
      </c>
      <c r="C144" t="s">
        <v>170</v>
      </c>
      <c r="E144" s="7">
        <v>86775</v>
      </c>
      <c r="F144" s="2">
        <v>43002</v>
      </c>
      <c r="G144" s="10">
        <v>3</v>
      </c>
      <c r="H144" s="9" t="str">
        <f t="shared" si="2"/>
        <v>Good</v>
      </c>
      <c r="I144" t="s">
        <v>179</v>
      </c>
      <c r="J144" t="s">
        <v>184</v>
      </c>
    </row>
    <row r="145" spans="1:10" x14ac:dyDescent="0.3">
      <c r="A145" t="s">
        <v>152</v>
      </c>
      <c r="B145" t="s">
        <v>164</v>
      </c>
      <c r="C145" t="s">
        <v>168</v>
      </c>
      <c r="D145" t="s">
        <v>175</v>
      </c>
      <c r="E145" s="7">
        <v>91620</v>
      </c>
      <c r="F145" s="2">
        <v>43009</v>
      </c>
      <c r="G145" s="10"/>
      <c r="H145" s="9" t="str">
        <f t="shared" si="2"/>
        <v/>
      </c>
      <c r="J145" t="s">
        <v>184</v>
      </c>
    </row>
    <row r="146" spans="1:10" x14ac:dyDescent="0.3">
      <c r="A146" t="s">
        <v>153</v>
      </c>
      <c r="B146" t="s">
        <v>159</v>
      </c>
      <c r="E146" s="7">
        <v>94148</v>
      </c>
      <c r="F146" s="2">
        <v>43016</v>
      </c>
      <c r="G146" s="10">
        <v>2</v>
      </c>
      <c r="H146" s="9" t="str">
        <f t="shared" si="2"/>
        <v>Bad</v>
      </c>
      <c r="J146" t="s">
        <v>184</v>
      </c>
    </row>
    <row r="147" spans="1:10" x14ac:dyDescent="0.3">
      <c r="A147" t="s">
        <v>154</v>
      </c>
      <c r="B147" t="s">
        <v>163</v>
      </c>
      <c r="C147" t="s">
        <v>168</v>
      </c>
      <c r="D147" t="s">
        <v>176</v>
      </c>
      <c r="E147" s="7">
        <v>35627</v>
      </c>
      <c r="F147" s="2">
        <v>43023</v>
      </c>
      <c r="G147" s="10">
        <v>5</v>
      </c>
      <c r="H147" s="9" t="str">
        <f t="shared" si="2"/>
        <v>Excellent</v>
      </c>
      <c r="I147" t="s">
        <v>181</v>
      </c>
      <c r="J147" t="s">
        <v>184</v>
      </c>
    </row>
    <row r="148" spans="1:10" x14ac:dyDescent="0.3">
      <c r="A148" t="s">
        <v>155</v>
      </c>
      <c r="B148" t="s">
        <v>161</v>
      </c>
      <c r="C148" t="s">
        <v>170</v>
      </c>
      <c r="D148" t="s">
        <v>173</v>
      </c>
      <c r="E148" s="7">
        <v>57141</v>
      </c>
      <c r="F148" s="2">
        <v>43030</v>
      </c>
      <c r="G148" s="10">
        <v>2</v>
      </c>
      <c r="H148" s="9" t="str">
        <f t="shared" si="2"/>
        <v>Bad</v>
      </c>
      <c r="J148" t="s">
        <v>184</v>
      </c>
    </row>
    <row r="149" spans="1:10" x14ac:dyDescent="0.3">
      <c r="A149" t="s">
        <v>156</v>
      </c>
      <c r="B149" t="s">
        <v>165</v>
      </c>
      <c r="C149" t="s">
        <v>168</v>
      </c>
      <c r="D149" t="s">
        <v>176</v>
      </c>
      <c r="E149" s="7">
        <v>65270</v>
      </c>
      <c r="F149" s="2">
        <v>43037</v>
      </c>
      <c r="G149" s="10">
        <v>1</v>
      </c>
      <c r="H149" s="9" t="str">
        <f t="shared" si="2"/>
        <v>Bad</v>
      </c>
      <c r="J149" t="s">
        <v>184</v>
      </c>
    </row>
    <row r="150" spans="1:10" x14ac:dyDescent="0.3">
      <c r="A150" t="s">
        <v>157</v>
      </c>
      <c r="B150" t="s">
        <v>165</v>
      </c>
      <c r="D150" t="s">
        <v>175</v>
      </c>
      <c r="E150" s="7">
        <v>67335</v>
      </c>
      <c r="F150" s="2">
        <v>43044</v>
      </c>
      <c r="G150" s="10">
        <v>1</v>
      </c>
      <c r="H150" s="9" t="str">
        <f t="shared" si="2"/>
        <v>Bad</v>
      </c>
      <c r="I150" t="s">
        <v>179</v>
      </c>
      <c r="J150" t="s">
        <v>184</v>
      </c>
    </row>
    <row r="151" spans="1:10" x14ac:dyDescent="0.3">
      <c r="A151" t="s">
        <v>158</v>
      </c>
      <c r="B151" t="s">
        <v>163</v>
      </c>
      <c r="C151" t="s">
        <v>170</v>
      </c>
      <c r="D151" t="s">
        <v>174</v>
      </c>
      <c r="E151" s="7">
        <v>98475</v>
      </c>
      <c r="F151" s="2">
        <v>43051</v>
      </c>
      <c r="G151" s="10">
        <v>5</v>
      </c>
      <c r="H151" s="9" t="str">
        <f t="shared" si="2"/>
        <v>Excellent</v>
      </c>
      <c r="I151" t="s">
        <v>179</v>
      </c>
      <c r="J151" t="s">
        <v>184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Task4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Masthabanu S</dc:creator>
  <cp:lastModifiedBy>Masthabanu S</cp:lastModifiedBy>
  <dcterms:created xsi:type="dcterms:W3CDTF">2025-05-31T18:11:07Z</dcterms:created>
  <dcterms:modified xsi:type="dcterms:W3CDTF">2026-01-31T13:55:05Z</dcterms:modified>
</cp:coreProperties>
</file>