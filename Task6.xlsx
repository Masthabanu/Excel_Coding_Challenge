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C612E0A6-E70B-4DB3-99AD-CE9A99E4E5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Data Cleaning" sheetId="2" r:id="rId2"/>
    <sheet name="Data_Cleane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H3" i="4"/>
  <c r="H4" i="4"/>
  <c r="H5" i="4"/>
  <c r="H6" i="4"/>
  <c r="H12" i="4"/>
  <c r="H14" i="4"/>
  <c r="H24" i="4"/>
  <c r="H25" i="4"/>
  <c r="H26" i="4"/>
  <c r="H27" i="4"/>
  <c r="H28" i="4"/>
  <c r="H36" i="4"/>
  <c r="H38" i="4"/>
  <c r="H39" i="4"/>
  <c r="H40" i="4"/>
  <c r="H41" i="4"/>
  <c r="H42" i="4"/>
  <c r="H48" i="4"/>
  <c r="H49" i="4"/>
  <c r="H50" i="4"/>
  <c r="H60" i="4"/>
  <c r="H61" i="4"/>
  <c r="H62" i="4"/>
  <c r="H63" i="4"/>
  <c r="H64" i="4"/>
  <c r="H65" i="4"/>
  <c r="H66" i="4"/>
  <c r="H72" i="4"/>
  <c r="H84" i="4"/>
  <c r="H85" i="4"/>
  <c r="H86" i="4"/>
  <c r="H87" i="4"/>
  <c r="H88" i="4"/>
  <c r="H89" i="4"/>
  <c r="H96" i="4"/>
  <c r="H108" i="4"/>
  <c r="H109" i="4"/>
  <c r="H110" i="4"/>
  <c r="H111" i="4"/>
  <c r="H120" i="4"/>
  <c r="H121" i="4"/>
  <c r="H122" i="4"/>
  <c r="H123" i="4"/>
  <c r="H124" i="4"/>
  <c r="H125" i="4"/>
  <c r="H126" i="4"/>
  <c r="H132" i="4"/>
  <c r="H133" i="4"/>
  <c r="G6" i="4"/>
  <c r="G7" i="4"/>
  <c r="G8" i="4"/>
  <c r="G9" i="4"/>
  <c r="G10" i="4"/>
  <c r="G17" i="4"/>
  <c r="G18" i="4"/>
  <c r="G19" i="4"/>
  <c r="G20" i="4"/>
  <c r="G21" i="4"/>
  <c r="G22" i="4"/>
  <c r="G30" i="4"/>
  <c r="G31" i="4"/>
  <c r="G32" i="4"/>
  <c r="G33" i="4"/>
  <c r="G34" i="4"/>
  <c r="G41" i="4"/>
  <c r="G42" i="4"/>
  <c r="G43" i="4"/>
  <c r="G44" i="4"/>
  <c r="G45" i="4"/>
  <c r="G46" i="4"/>
  <c r="G54" i="4"/>
  <c r="G55" i="4"/>
  <c r="G56" i="4"/>
  <c r="G57" i="4"/>
  <c r="G58" i="4"/>
  <c r="G65" i="4"/>
  <c r="G66" i="4"/>
  <c r="G67" i="4"/>
  <c r="G68" i="4"/>
  <c r="G69" i="4"/>
  <c r="G70" i="4"/>
  <c r="G78" i="4"/>
  <c r="G79" i="4"/>
  <c r="G80" i="4"/>
  <c r="G81" i="4"/>
  <c r="G82" i="4"/>
  <c r="G89" i="4"/>
  <c r="G90" i="4"/>
  <c r="G91" i="4"/>
  <c r="G92" i="4"/>
  <c r="G93" i="4"/>
  <c r="G94" i="4"/>
  <c r="G102" i="4"/>
  <c r="G103" i="4"/>
  <c r="G104" i="4"/>
  <c r="G105" i="4"/>
  <c r="G106" i="4"/>
  <c r="G113" i="4"/>
  <c r="G114" i="4"/>
  <c r="G115" i="4"/>
  <c r="G116" i="4"/>
  <c r="G117" i="4"/>
  <c r="G118" i="4"/>
  <c r="G126" i="4"/>
  <c r="G127" i="4"/>
  <c r="G128" i="4"/>
  <c r="G129" i="4"/>
  <c r="G130" i="4"/>
  <c r="G137" i="4"/>
  <c r="G138" i="4"/>
  <c r="G139" i="4"/>
  <c r="G140" i="4"/>
  <c r="G141" i="4"/>
  <c r="G142" i="4"/>
  <c r="F12" i="4"/>
  <c r="F13" i="4"/>
  <c r="F14" i="4"/>
  <c r="F24" i="4"/>
  <c r="F25" i="4"/>
  <c r="F26" i="4"/>
  <c r="F32" i="4"/>
  <c r="F33" i="4"/>
  <c r="F34" i="4"/>
  <c r="F35" i="4"/>
  <c r="F36" i="4"/>
  <c r="F37" i="4"/>
  <c r="F38" i="4"/>
  <c r="F48" i="4"/>
  <c r="F49" i="4"/>
  <c r="F50" i="4"/>
  <c r="F56" i="4"/>
  <c r="F57" i="4"/>
  <c r="F58" i="4"/>
  <c r="F60" i="4"/>
  <c r="F61" i="4"/>
  <c r="F62" i="4"/>
  <c r="F72" i="4"/>
  <c r="F73" i="4"/>
  <c r="F74" i="4"/>
  <c r="F80" i="4"/>
  <c r="F84" i="4"/>
  <c r="F85" i="4"/>
  <c r="F86" i="4"/>
  <c r="F92" i="4"/>
  <c r="F93" i="4"/>
  <c r="F94" i="4"/>
  <c r="F95" i="4"/>
  <c r="F96" i="4"/>
  <c r="F97" i="4"/>
  <c r="F98" i="4"/>
  <c r="F108" i="4"/>
  <c r="F109" i="4"/>
  <c r="F110" i="4"/>
  <c r="F116" i="4"/>
  <c r="F117" i="4"/>
  <c r="F118" i="4"/>
  <c r="F119" i="4"/>
  <c r="F120" i="4"/>
  <c r="F121" i="4"/>
  <c r="F122" i="4"/>
  <c r="F132" i="4"/>
  <c r="F133" i="4"/>
  <c r="F134" i="4"/>
  <c r="F140" i="4"/>
  <c r="F141" i="4"/>
  <c r="E3" i="4"/>
  <c r="E4" i="4"/>
  <c r="E5" i="4"/>
  <c r="E6" i="4"/>
  <c r="E15" i="4"/>
  <c r="E16" i="4"/>
  <c r="E17" i="4"/>
  <c r="E18" i="4"/>
  <c r="E28" i="4"/>
  <c r="E29" i="4"/>
  <c r="E30" i="4"/>
  <c r="E36" i="4"/>
  <c r="E37" i="4"/>
  <c r="E38" i="4"/>
  <c r="E39" i="4"/>
  <c r="E40" i="4"/>
  <c r="E41" i="4"/>
  <c r="E42" i="4"/>
  <c r="E52" i="4"/>
  <c r="E53" i="4"/>
  <c r="E54" i="4"/>
  <c r="E60" i="4"/>
  <c r="E61" i="4"/>
  <c r="E62" i="4"/>
  <c r="E64" i="4"/>
  <c r="E65" i="4"/>
  <c r="E66" i="4"/>
  <c r="E76" i="4"/>
  <c r="E77" i="4"/>
  <c r="E78" i="4"/>
  <c r="E84" i="4"/>
  <c r="E88" i="4"/>
  <c r="E89" i="4"/>
  <c r="E90" i="4"/>
  <c r="E97" i="4"/>
  <c r="E98" i="4"/>
  <c r="E99" i="4"/>
  <c r="E100" i="4"/>
  <c r="E101" i="4"/>
  <c r="E102" i="4"/>
  <c r="E113" i="4"/>
  <c r="E114" i="4"/>
  <c r="E120" i="4"/>
  <c r="E121" i="4"/>
  <c r="E122" i="4"/>
  <c r="E123" i="4"/>
  <c r="E125" i="4"/>
  <c r="E126" i="4"/>
  <c r="E134" i="4"/>
  <c r="E138" i="4"/>
  <c r="D4" i="4"/>
  <c r="D5" i="4"/>
  <c r="D16" i="4"/>
  <c r="D17" i="4"/>
  <c r="D18" i="4"/>
  <c r="D19" i="4"/>
  <c r="D20" i="4"/>
  <c r="D21" i="4"/>
  <c r="D22" i="4"/>
  <c r="D40" i="4"/>
  <c r="D41" i="4"/>
  <c r="D42" i="4"/>
  <c r="D43" i="4"/>
  <c r="D44" i="4"/>
  <c r="D64" i="4"/>
  <c r="D65" i="4"/>
  <c r="D66" i="4"/>
  <c r="D76" i="4"/>
  <c r="D77" i="4"/>
  <c r="D78" i="4"/>
  <c r="D79" i="4"/>
  <c r="D80" i="4"/>
  <c r="D81" i="4"/>
  <c r="D82" i="4"/>
  <c r="D88" i="4"/>
  <c r="D100" i="4"/>
  <c r="D101" i="4"/>
  <c r="D102" i="4"/>
  <c r="D103" i="4"/>
  <c r="D104" i="4"/>
  <c r="D105" i="4"/>
  <c r="D113" i="4"/>
  <c r="D124" i="4"/>
  <c r="D125" i="4"/>
  <c r="D126" i="4"/>
  <c r="D127" i="4"/>
  <c r="D137" i="4"/>
  <c r="D138" i="4"/>
  <c r="D139" i="4"/>
  <c r="D140" i="4"/>
  <c r="D141" i="4"/>
  <c r="D142" i="4"/>
  <c r="C8" i="4"/>
  <c r="C9" i="4"/>
  <c r="C10" i="4"/>
  <c r="C11" i="4"/>
  <c r="C12" i="4"/>
  <c r="C14" i="4"/>
  <c r="C20" i="4"/>
  <c r="C21" i="4"/>
  <c r="C22" i="4"/>
  <c r="C23" i="4"/>
  <c r="C24" i="4"/>
  <c r="C25" i="4"/>
  <c r="C26" i="4"/>
  <c r="C32" i="4"/>
  <c r="C33" i="4"/>
  <c r="C34" i="4"/>
  <c r="C35" i="4"/>
  <c r="C36" i="4"/>
  <c r="C37" i="4"/>
  <c r="C38" i="4"/>
  <c r="C44" i="4"/>
  <c r="C45" i="4"/>
  <c r="C46" i="4"/>
  <c r="C47" i="4"/>
  <c r="C48" i="4"/>
  <c r="C56" i="4"/>
  <c r="C57" i="4"/>
  <c r="C58" i="4"/>
  <c r="C59" i="4"/>
  <c r="C60" i="4"/>
  <c r="C61" i="4"/>
  <c r="C62" i="4"/>
  <c r="C68" i="4"/>
  <c r="C69" i="4"/>
  <c r="C70" i="4"/>
  <c r="C71" i="4"/>
  <c r="C72" i="4"/>
  <c r="C80" i="4"/>
  <c r="C81" i="4"/>
  <c r="C82" i="4"/>
  <c r="C83" i="4"/>
  <c r="C84" i="4"/>
  <c r="C85" i="4"/>
  <c r="C86" i="4"/>
  <c r="C92" i="4"/>
  <c r="C93" i="4"/>
  <c r="C94" i="4"/>
  <c r="C95" i="4"/>
  <c r="C96" i="4"/>
  <c r="C97" i="4"/>
  <c r="C98" i="4"/>
  <c r="C104" i="4"/>
  <c r="C105" i="4"/>
  <c r="C106" i="4"/>
  <c r="C107" i="4"/>
  <c r="C108" i="4"/>
  <c r="C109" i="4"/>
  <c r="C116" i="4"/>
  <c r="C117" i="4"/>
  <c r="C118" i="4"/>
  <c r="C119" i="4"/>
  <c r="C120" i="4"/>
  <c r="C121" i="4"/>
  <c r="C122" i="4"/>
  <c r="C128" i="4"/>
  <c r="C129" i="4"/>
  <c r="C130" i="4"/>
  <c r="C131" i="4"/>
  <c r="C132" i="4"/>
  <c r="C134" i="4"/>
  <c r="C140" i="4"/>
  <c r="C141" i="4"/>
  <c r="C142" i="4"/>
  <c r="B15" i="4"/>
  <c r="B21" i="4"/>
  <c r="B22" i="4"/>
  <c r="B27" i="4"/>
  <c r="B33" i="4"/>
  <c r="B34" i="4"/>
  <c r="B35" i="4"/>
  <c r="B36" i="4"/>
  <c r="B37" i="4"/>
  <c r="B38" i="4"/>
  <c r="B39" i="4"/>
  <c r="B51" i="4"/>
  <c r="B57" i="4"/>
  <c r="B58" i="4"/>
  <c r="B59" i="4"/>
  <c r="B60" i="4"/>
  <c r="B61" i="4"/>
  <c r="B63" i="4"/>
  <c r="B69" i="4"/>
  <c r="B75" i="4"/>
  <c r="B79" i="4"/>
  <c r="B81" i="4"/>
  <c r="B82" i="4"/>
  <c r="B87" i="4"/>
  <c r="B91" i="4"/>
  <c r="B93" i="4"/>
  <c r="B94" i="4"/>
  <c r="B95" i="4"/>
  <c r="B96" i="4"/>
  <c r="B97" i="4"/>
  <c r="B98" i="4"/>
  <c r="B99" i="4"/>
  <c r="B100" i="4"/>
  <c r="B103" i="4"/>
  <c r="B111" i="4"/>
  <c r="B112" i="4"/>
  <c r="B115" i="4"/>
  <c r="B123" i="4"/>
  <c r="B124" i="4"/>
  <c r="B127" i="4"/>
  <c r="B129" i="4"/>
  <c r="B130" i="4"/>
  <c r="B131" i="4"/>
  <c r="B135" i="4"/>
  <c r="B136" i="4"/>
  <c r="B139" i="4"/>
  <c r="B141" i="4"/>
  <c r="B142" i="4"/>
  <c r="B3" i="4"/>
  <c r="B4" i="4"/>
  <c r="B5" i="4"/>
  <c r="B6" i="4"/>
  <c r="B7" i="4"/>
  <c r="I2" i="4"/>
  <c r="H2" i="4"/>
  <c r="F2" i="4"/>
  <c r="E2" i="4"/>
  <c r="D2" i="4"/>
  <c r="C2" i="4"/>
  <c r="I3" i="2"/>
  <c r="I4" i="2"/>
  <c r="I5" i="2"/>
  <c r="I6" i="2"/>
  <c r="I7" i="2"/>
  <c r="E7" i="4" s="1"/>
  <c r="I8" i="2"/>
  <c r="E8" i="4" s="1"/>
  <c r="I9" i="2"/>
  <c r="E9" i="4" s="1"/>
  <c r="I10" i="2"/>
  <c r="E10" i="4" s="1"/>
  <c r="I11" i="2"/>
  <c r="E11" i="4" s="1"/>
  <c r="I12" i="2"/>
  <c r="E12" i="4" s="1"/>
  <c r="I13" i="2"/>
  <c r="E13" i="4" s="1"/>
  <c r="I14" i="2"/>
  <c r="E14" i="4" s="1"/>
  <c r="I15" i="2"/>
  <c r="I16" i="2"/>
  <c r="I17" i="2"/>
  <c r="I18" i="2"/>
  <c r="I19" i="2"/>
  <c r="E19" i="4" s="1"/>
  <c r="I20" i="2"/>
  <c r="E20" i="4" s="1"/>
  <c r="I22" i="2"/>
  <c r="E22" i="4" s="1"/>
  <c r="I23" i="2"/>
  <c r="E23" i="4" s="1"/>
  <c r="I24" i="2"/>
  <c r="E24" i="4" s="1"/>
  <c r="I25" i="2"/>
  <c r="E25" i="4" s="1"/>
  <c r="I26" i="2"/>
  <c r="E26" i="4" s="1"/>
  <c r="I27" i="2"/>
  <c r="E27" i="4" s="1"/>
  <c r="I28" i="2"/>
  <c r="I29" i="2"/>
  <c r="I30" i="2"/>
  <c r="I31" i="2"/>
  <c r="E31" i="4" s="1"/>
  <c r="I32" i="2"/>
  <c r="E32" i="4" s="1"/>
  <c r="I33" i="2"/>
  <c r="E33" i="4" s="1"/>
  <c r="I34" i="2"/>
  <c r="E34" i="4" s="1"/>
  <c r="I35" i="2"/>
  <c r="E35" i="4" s="1"/>
  <c r="I36" i="2"/>
  <c r="I37" i="2"/>
  <c r="I38" i="2"/>
  <c r="I39" i="2"/>
  <c r="I40" i="2"/>
  <c r="I41" i="2"/>
  <c r="I42" i="2"/>
  <c r="I43" i="2"/>
  <c r="E43" i="4" s="1"/>
  <c r="I44" i="2"/>
  <c r="E44" i="4" s="1"/>
  <c r="I45" i="2"/>
  <c r="E45" i="4" s="1"/>
  <c r="I46" i="2"/>
  <c r="E46" i="4" s="1"/>
  <c r="I47" i="2"/>
  <c r="E47" i="4" s="1"/>
  <c r="I48" i="2"/>
  <c r="E48" i="4" s="1"/>
  <c r="I49" i="2"/>
  <c r="E49" i="4" s="1"/>
  <c r="I50" i="2"/>
  <c r="E50" i="4" s="1"/>
  <c r="I51" i="2"/>
  <c r="E51" i="4" s="1"/>
  <c r="I52" i="2"/>
  <c r="I53" i="2"/>
  <c r="I54" i="2"/>
  <c r="I55" i="2"/>
  <c r="E55" i="4" s="1"/>
  <c r="I56" i="2"/>
  <c r="E56" i="4" s="1"/>
  <c r="I57" i="2"/>
  <c r="E57" i="4" s="1"/>
  <c r="I58" i="2"/>
  <c r="E58" i="4" s="1"/>
  <c r="I59" i="2"/>
  <c r="E59" i="4" s="1"/>
  <c r="I60" i="2"/>
  <c r="I61" i="2"/>
  <c r="I62" i="2"/>
  <c r="I63" i="2"/>
  <c r="E63" i="4" s="1"/>
  <c r="I64" i="2"/>
  <c r="I65" i="2"/>
  <c r="I66" i="2"/>
  <c r="I67" i="2"/>
  <c r="E67" i="4" s="1"/>
  <c r="I68" i="2"/>
  <c r="E68" i="4" s="1"/>
  <c r="I69" i="2"/>
  <c r="E69" i="4" s="1"/>
  <c r="I70" i="2"/>
  <c r="E70" i="4" s="1"/>
  <c r="I71" i="2"/>
  <c r="E71" i="4" s="1"/>
  <c r="I72" i="2"/>
  <c r="E72" i="4" s="1"/>
  <c r="I73" i="2"/>
  <c r="E73" i="4" s="1"/>
  <c r="I74" i="2"/>
  <c r="E74" i="4" s="1"/>
  <c r="I75" i="2"/>
  <c r="E75" i="4" s="1"/>
  <c r="I76" i="2"/>
  <c r="I77" i="2"/>
  <c r="I78" i="2"/>
  <c r="I79" i="2"/>
  <c r="E79" i="4" s="1"/>
  <c r="I80" i="2"/>
  <c r="E80" i="4" s="1"/>
  <c r="I81" i="2"/>
  <c r="E81" i="4" s="1"/>
  <c r="I82" i="2"/>
  <c r="E82" i="4" s="1"/>
  <c r="I83" i="2"/>
  <c r="E83" i="4" s="1"/>
  <c r="I84" i="2"/>
  <c r="I85" i="2"/>
  <c r="E85" i="4" s="1"/>
  <c r="I86" i="2"/>
  <c r="E86" i="4" s="1"/>
  <c r="I87" i="2"/>
  <c r="E87" i="4" s="1"/>
  <c r="I88" i="2"/>
  <c r="I89" i="2"/>
  <c r="I90" i="2"/>
  <c r="I91" i="2"/>
  <c r="E91" i="4" s="1"/>
  <c r="I92" i="2"/>
  <c r="E92" i="4" s="1"/>
  <c r="I93" i="2"/>
  <c r="E93" i="4" s="1"/>
  <c r="I94" i="2"/>
  <c r="E94" i="4" s="1"/>
  <c r="I95" i="2"/>
  <c r="E95" i="4" s="1"/>
  <c r="I97" i="2"/>
  <c r="I98" i="2"/>
  <c r="I99" i="2"/>
  <c r="I100" i="2"/>
  <c r="I101" i="2"/>
  <c r="I102" i="2"/>
  <c r="I103" i="2"/>
  <c r="E103" i="4" s="1"/>
  <c r="I104" i="2"/>
  <c r="E104" i="4" s="1"/>
  <c r="I105" i="2"/>
  <c r="E105" i="4" s="1"/>
  <c r="I106" i="2"/>
  <c r="E106" i="4" s="1"/>
  <c r="I107" i="2"/>
  <c r="E107" i="4" s="1"/>
  <c r="I108" i="2"/>
  <c r="E108" i="4" s="1"/>
  <c r="I109" i="2"/>
  <c r="E109" i="4" s="1"/>
  <c r="I110" i="2"/>
  <c r="E110" i="4" s="1"/>
  <c r="I111" i="2"/>
  <c r="E111" i="4" s="1"/>
  <c r="I112" i="2"/>
  <c r="E112" i="4" s="1"/>
  <c r="I113" i="2"/>
  <c r="I114" i="2"/>
  <c r="I115" i="2"/>
  <c r="E115" i="4" s="1"/>
  <c r="I116" i="2"/>
  <c r="E116" i="4" s="1"/>
  <c r="I117" i="2"/>
  <c r="E117" i="4" s="1"/>
  <c r="I118" i="2"/>
  <c r="E118" i="4" s="1"/>
  <c r="I119" i="2"/>
  <c r="E119" i="4" s="1"/>
  <c r="I120" i="2"/>
  <c r="I121" i="2"/>
  <c r="I122" i="2"/>
  <c r="I123" i="2"/>
  <c r="I124" i="2"/>
  <c r="E124" i="4" s="1"/>
  <c r="I125" i="2"/>
  <c r="I126" i="2"/>
  <c r="I127" i="2"/>
  <c r="E127" i="4" s="1"/>
  <c r="I128" i="2"/>
  <c r="E128" i="4" s="1"/>
  <c r="I129" i="2"/>
  <c r="E129" i="4" s="1"/>
  <c r="I130" i="2"/>
  <c r="E130" i="4" s="1"/>
  <c r="I131" i="2"/>
  <c r="E131" i="4" s="1"/>
  <c r="I132" i="2"/>
  <c r="E132" i="4" s="1"/>
  <c r="I134" i="2"/>
  <c r="I135" i="2"/>
  <c r="E135" i="4" s="1"/>
  <c r="I136" i="2"/>
  <c r="E136" i="4" s="1"/>
  <c r="I137" i="2"/>
  <c r="E137" i="4" s="1"/>
  <c r="I138" i="2"/>
  <c r="I139" i="2"/>
  <c r="E139" i="4" s="1"/>
  <c r="I140" i="2"/>
  <c r="E140" i="4" s="1"/>
  <c r="I141" i="2"/>
  <c r="E141" i="4" s="1"/>
  <c r="I142" i="2"/>
  <c r="E142" i="4" s="1"/>
  <c r="K2" i="2"/>
  <c r="O2" i="2"/>
  <c r="O3" i="2"/>
  <c r="O4" i="2"/>
  <c r="O5" i="2"/>
  <c r="O6" i="2"/>
  <c r="O7" i="2"/>
  <c r="H7" i="4" s="1"/>
  <c r="O8" i="2"/>
  <c r="H8" i="4" s="1"/>
  <c r="O9" i="2"/>
  <c r="H9" i="4" s="1"/>
  <c r="O10" i="2"/>
  <c r="H10" i="4" s="1"/>
  <c r="O11" i="2"/>
  <c r="O12" i="2"/>
  <c r="O13" i="2"/>
  <c r="H13" i="4" s="1"/>
  <c r="O14" i="2"/>
  <c r="O15" i="2"/>
  <c r="H15" i="4" s="1"/>
  <c r="O16" i="2"/>
  <c r="H16" i="4" s="1"/>
  <c r="O17" i="2"/>
  <c r="H17" i="4" s="1"/>
  <c r="O18" i="2"/>
  <c r="H18" i="4" s="1"/>
  <c r="O19" i="2"/>
  <c r="H19" i="4" s="1"/>
  <c r="O20" i="2"/>
  <c r="H20" i="4" s="1"/>
  <c r="O21" i="2"/>
  <c r="H21" i="4" s="1"/>
  <c r="O22" i="2"/>
  <c r="H22" i="4" s="1"/>
  <c r="O23" i="2"/>
  <c r="H23" i="4" s="1"/>
  <c r="O24" i="2"/>
  <c r="O25" i="2"/>
  <c r="O26" i="2"/>
  <c r="O27" i="2"/>
  <c r="O28" i="2"/>
  <c r="O29" i="2"/>
  <c r="H29" i="4" s="1"/>
  <c r="O30" i="2"/>
  <c r="H30" i="4" s="1"/>
  <c r="O31" i="2"/>
  <c r="H31" i="4" s="1"/>
  <c r="O32" i="2"/>
  <c r="H32" i="4" s="1"/>
  <c r="O33" i="2"/>
  <c r="H33" i="4" s="1"/>
  <c r="O34" i="2"/>
  <c r="H34" i="4" s="1"/>
  <c r="O35" i="2"/>
  <c r="H35" i="4" s="1"/>
  <c r="O36" i="2"/>
  <c r="O37" i="2"/>
  <c r="H37" i="4" s="1"/>
  <c r="O38" i="2"/>
  <c r="O39" i="2"/>
  <c r="O40" i="2"/>
  <c r="O41" i="2"/>
  <c r="O42" i="2"/>
  <c r="O43" i="2"/>
  <c r="H43" i="4" s="1"/>
  <c r="O44" i="2"/>
  <c r="H44" i="4" s="1"/>
  <c r="O45" i="2"/>
  <c r="H45" i="4" s="1"/>
  <c r="O46" i="2"/>
  <c r="H46" i="4" s="1"/>
  <c r="O47" i="2"/>
  <c r="H47" i="4" s="1"/>
  <c r="O48" i="2"/>
  <c r="O49" i="2"/>
  <c r="O50" i="2"/>
  <c r="O51" i="2"/>
  <c r="H51" i="4" s="1"/>
  <c r="O52" i="2"/>
  <c r="H52" i="4" s="1"/>
  <c r="O53" i="2"/>
  <c r="H53" i="4" s="1"/>
  <c r="O54" i="2"/>
  <c r="H54" i="4" s="1"/>
  <c r="O55" i="2"/>
  <c r="H55" i="4" s="1"/>
  <c r="O56" i="2"/>
  <c r="H56" i="4" s="1"/>
  <c r="O57" i="2"/>
  <c r="H57" i="4" s="1"/>
  <c r="O58" i="2"/>
  <c r="H58" i="4" s="1"/>
  <c r="O59" i="2"/>
  <c r="H59" i="4" s="1"/>
  <c r="O60" i="2"/>
  <c r="O61" i="2"/>
  <c r="O62" i="2"/>
  <c r="O63" i="2"/>
  <c r="O64" i="2"/>
  <c r="O65" i="2"/>
  <c r="O66" i="2"/>
  <c r="O67" i="2"/>
  <c r="H67" i="4" s="1"/>
  <c r="O68" i="2"/>
  <c r="H68" i="4" s="1"/>
  <c r="O69" i="2"/>
  <c r="H69" i="4" s="1"/>
  <c r="O70" i="2"/>
  <c r="H70" i="4" s="1"/>
  <c r="O71" i="2"/>
  <c r="H71" i="4" s="1"/>
  <c r="O72" i="2"/>
  <c r="O73" i="2"/>
  <c r="H73" i="4" s="1"/>
  <c r="O74" i="2"/>
  <c r="H74" i="4" s="1"/>
  <c r="O75" i="2"/>
  <c r="H75" i="4" s="1"/>
  <c r="O76" i="2"/>
  <c r="H76" i="4" s="1"/>
  <c r="O77" i="2"/>
  <c r="H77" i="4" s="1"/>
  <c r="O78" i="2"/>
  <c r="H78" i="4" s="1"/>
  <c r="O79" i="2"/>
  <c r="H79" i="4" s="1"/>
  <c r="O80" i="2"/>
  <c r="H80" i="4" s="1"/>
  <c r="O81" i="2"/>
  <c r="H81" i="4" s="1"/>
  <c r="O82" i="2"/>
  <c r="H82" i="4" s="1"/>
  <c r="O83" i="2"/>
  <c r="H83" i="4" s="1"/>
  <c r="O84" i="2"/>
  <c r="O85" i="2"/>
  <c r="O86" i="2"/>
  <c r="O87" i="2"/>
  <c r="O88" i="2"/>
  <c r="O89" i="2"/>
  <c r="O90" i="2"/>
  <c r="H90" i="4" s="1"/>
  <c r="O91" i="2"/>
  <c r="H91" i="4" s="1"/>
  <c r="O92" i="2"/>
  <c r="H92" i="4" s="1"/>
  <c r="O93" i="2"/>
  <c r="H93" i="4" s="1"/>
  <c r="O94" i="2"/>
  <c r="H94" i="4" s="1"/>
  <c r="O95" i="2"/>
  <c r="H95" i="4" s="1"/>
  <c r="O96" i="2"/>
  <c r="O97" i="2"/>
  <c r="H97" i="4" s="1"/>
  <c r="O98" i="2"/>
  <c r="H98" i="4" s="1"/>
  <c r="O99" i="2"/>
  <c r="H99" i="4" s="1"/>
  <c r="O100" i="2"/>
  <c r="H100" i="4" s="1"/>
  <c r="O101" i="2"/>
  <c r="H101" i="4" s="1"/>
  <c r="O102" i="2"/>
  <c r="H102" i="4" s="1"/>
  <c r="O103" i="2"/>
  <c r="H103" i="4" s="1"/>
  <c r="O104" i="2"/>
  <c r="H104" i="4" s="1"/>
  <c r="O105" i="2"/>
  <c r="H105" i="4" s="1"/>
  <c r="O106" i="2"/>
  <c r="H106" i="4" s="1"/>
  <c r="O107" i="2"/>
  <c r="H107" i="4" s="1"/>
  <c r="O108" i="2"/>
  <c r="O109" i="2"/>
  <c r="O110" i="2"/>
  <c r="O111" i="2"/>
  <c r="O112" i="2"/>
  <c r="H112" i="4" s="1"/>
  <c r="O113" i="2"/>
  <c r="H113" i="4" s="1"/>
  <c r="O114" i="2"/>
  <c r="H114" i="4" s="1"/>
  <c r="O115" i="2"/>
  <c r="H115" i="4" s="1"/>
  <c r="O116" i="2"/>
  <c r="H116" i="4" s="1"/>
  <c r="O117" i="2"/>
  <c r="H117" i="4" s="1"/>
  <c r="O118" i="2"/>
  <c r="H118" i="4" s="1"/>
  <c r="O119" i="2"/>
  <c r="H119" i="4" s="1"/>
  <c r="O120" i="2"/>
  <c r="O121" i="2"/>
  <c r="O122" i="2"/>
  <c r="O123" i="2"/>
  <c r="O124" i="2"/>
  <c r="O125" i="2"/>
  <c r="O126" i="2"/>
  <c r="O127" i="2"/>
  <c r="H127" i="4" s="1"/>
  <c r="O128" i="2"/>
  <c r="H128" i="4" s="1"/>
  <c r="O129" i="2"/>
  <c r="H129" i="4" s="1"/>
  <c r="O130" i="2"/>
  <c r="H130" i="4" s="1"/>
  <c r="O131" i="2"/>
  <c r="H131" i="4" s="1"/>
  <c r="O132" i="2"/>
  <c r="O133" i="2"/>
  <c r="O134" i="2"/>
  <c r="H134" i="4" s="1"/>
  <c r="O135" i="2"/>
  <c r="H135" i="4" s="1"/>
  <c r="O136" i="2"/>
  <c r="H136" i="4" s="1"/>
  <c r="O137" i="2"/>
  <c r="H137" i="4" s="1"/>
  <c r="O138" i="2"/>
  <c r="H138" i="4" s="1"/>
  <c r="O139" i="2"/>
  <c r="H139" i="4" s="1"/>
  <c r="O140" i="2"/>
  <c r="H140" i="4" s="1"/>
  <c r="O141" i="2"/>
  <c r="H141" i="4" s="1"/>
  <c r="O142" i="2"/>
  <c r="H142" i="4" s="1"/>
  <c r="K3" i="2"/>
  <c r="F3" i="4" s="1"/>
  <c r="K4" i="2"/>
  <c r="F4" i="4" s="1"/>
  <c r="K5" i="2"/>
  <c r="F5" i="4" s="1"/>
  <c r="K6" i="2"/>
  <c r="F6" i="4" s="1"/>
  <c r="K7" i="2"/>
  <c r="F7" i="4" s="1"/>
  <c r="K8" i="2"/>
  <c r="F8" i="4" s="1"/>
  <c r="K9" i="2"/>
  <c r="F9" i="4" s="1"/>
  <c r="K10" i="2"/>
  <c r="F10" i="4" s="1"/>
  <c r="K11" i="2"/>
  <c r="F11" i="4" s="1"/>
  <c r="K12" i="2"/>
  <c r="K13" i="2"/>
  <c r="K14" i="2"/>
  <c r="K15" i="2"/>
  <c r="F15" i="4" s="1"/>
  <c r="K16" i="2"/>
  <c r="F16" i="4" s="1"/>
  <c r="K17" i="2"/>
  <c r="F17" i="4" s="1"/>
  <c r="K18" i="2"/>
  <c r="F18" i="4" s="1"/>
  <c r="K19" i="2"/>
  <c r="F19" i="4" s="1"/>
  <c r="K20" i="2"/>
  <c r="F20" i="4" s="1"/>
  <c r="K21" i="2"/>
  <c r="F21" i="4" s="1"/>
  <c r="K22" i="2"/>
  <c r="F22" i="4" s="1"/>
  <c r="K23" i="2"/>
  <c r="F23" i="4" s="1"/>
  <c r="K24" i="2"/>
  <c r="K25" i="2"/>
  <c r="K26" i="2"/>
  <c r="K27" i="2"/>
  <c r="F27" i="4" s="1"/>
  <c r="K28" i="2"/>
  <c r="F28" i="4" s="1"/>
  <c r="K29" i="2"/>
  <c r="F29" i="4" s="1"/>
  <c r="K30" i="2"/>
  <c r="F30" i="4" s="1"/>
  <c r="K31" i="2"/>
  <c r="F31" i="4" s="1"/>
  <c r="K32" i="2"/>
  <c r="K33" i="2"/>
  <c r="K34" i="2"/>
  <c r="K35" i="2"/>
  <c r="K36" i="2"/>
  <c r="K37" i="2"/>
  <c r="K38" i="2"/>
  <c r="K39" i="2"/>
  <c r="F39" i="4" s="1"/>
  <c r="K40" i="2"/>
  <c r="F40" i="4" s="1"/>
  <c r="K41" i="2"/>
  <c r="F41" i="4" s="1"/>
  <c r="K42" i="2"/>
  <c r="F42" i="4" s="1"/>
  <c r="K43" i="2"/>
  <c r="F43" i="4" s="1"/>
  <c r="K44" i="2"/>
  <c r="F44" i="4" s="1"/>
  <c r="K45" i="2"/>
  <c r="F45" i="4" s="1"/>
  <c r="K46" i="2"/>
  <c r="F46" i="4" s="1"/>
  <c r="K47" i="2"/>
  <c r="F47" i="4" s="1"/>
  <c r="K48" i="2"/>
  <c r="K49" i="2"/>
  <c r="K50" i="2"/>
  <c r="K51" i="2"/>
  <c r="F51" i="4" s="1"/>
  <c r="K52" i="2"/>
  <c r="F52" i="4" s="1"/>
  <c r="K53" i="2"/>
  <c r="F53" i="4" s="1"/>
  <c r="K54" i="2"/>
  <c r="F54" i="4" s="1"/>
  <c r="K55" i="2"/>
  <c r="F55" i="4" s="1"/>
  <c r="K56" i="2"/>
  <c r="K57" i="2"/>
  <c r="K58" i="2"/>
  <c r="K59" i="2"/>
  <c r="F59" i="4" s="1"/>
  <c r="K60" i="2"/>
  <c r="K61" i="2"/>
  <c r="K62" i="2"/>
  <c r="K63" i="2"/>
  <c r="F63" i="4" s="1"/>
  <c r="K64" i="2"/>
  <c r="F64" i="4" s="1"/>
  <c r="K65" i="2"/>
  <c r="F65" i="4" s="1"/>
  <c r="K66" i="2"/>
  <c r="F66" i="4" s="1"/>
  <c r="K67" i="2"/>
  <c r="F67" i="4" s="1"/>
  <c r="K68" i="2"/>
  <c r="F68" i="4" s="1"/>
  <c r="K69" i="2"/>
  <c r="F69" i="4" s="1"/>
  <c r="K70" i="2"/>
  <c r="F70" i="4" s="1"/>
  <c r="K71" i="2"/>
  <c r="F71" i="4" s="1"/>
  <c r="K72" i="2"/>
  <c r="K73" i="2"/>
  <c r="K74" i="2"/>
  <c r="K75" i="2"/>
  <c r="F75" i="4" s="1"/>
  <c r="K76" i="2"/>
  <c r="F76" i="4" s="1"/>
  <c r="K77" i="2"/>
  <c r="F77" i="4" s="1"/>
  <c r="K78" i="2"/>
  <c r="F78" i="4" s="1"/>
  <c r="K79" i="2"/>
  <c r="F79" i="4" s="1"/>
  <c r="K80" i="2"/>
  <c r="K81" i="2"/>
  <c r="F81" i="4" s="1"/>
  <c r="K82" i="2"/>
  <c r="F82" i="4" s="1"/>
  <c r="K83" i="2"/>
  <c r="F83" i="4" s="1"/>
  <c r="K84" i="2"/>
  <c r="K85" i="2"/>
  <c r="K86" i="2"/>
  <c r="K87" i="2"/>
  <c r="F87" i="4" s="1"/>
  <c r="K88" i="2"/>
  <c r="F88" i="4" s="1"/>
  <c r="K89" i="2"/>
  <c r="F89" i="4" s="1"/>
  <c r="K90" i="2"/>
  <c r="F90" i="4" s="1"/>
  <c r="K91" i="2"/>
  <c r="F91" i="4" s="1"/>
  <c r="K92" i="2"/>
  <c r="K93" i="2"/>
  <c r="K94" i="2"/>
  <c r="K95" i="2"/>
  <c r="K96" i="2"/>
  <c r="K97" i="2"/>
  <c r="K98" i="2"/>
  <c r="K99" i="2"/>
  <c r="F99" i="4" s="1"/>
  <c r="K100" i="2"/>
  <c r="F100" i="4" s="1"/>
  <c r="K101" i="2"/>
  <c r="F101" i="4" s="1"/>
  <c r="K102" i="2"/>
  <c r="F102" i="4" s="1"/>
  <c r="K103" i="2"/>
  <c r="F103" i="4" s="1"/>
  <c r="K104" i="2"/>
  <c r="F104" i="4" s="1"/>
  <c r="K105" i="2"/>
  <c r="F105" i="4" s="1"/>
  <c r="K106" i="2"/>
  <c r="F106" i="4" s="1"/>
  <c r="K107" i="2"/>
  <c r="F107" i="4" s="1"/>
  <c r="K108" i="2"/>
  <c r="K109" i="2"/>
  <c r="K110" i="2"/>
  <c r="K111" i="2"/>
  <c r="F111" i="4" s="1"/>
  <c r="K112" i="2"/>
  <c r="F112" i="4" s="1"/>
  <c r="K113" i="2"/>
  <c r="F113" i="4" s="1"/>
  <c r="K114" i="2"/>
  <c r="F114" i="4" s="1"/>
  <c r="K115" i="2"/>
  <c r="F115" i="4" s="1"/>
  <c r="K116" i="2"/>
  <c r="K117" i="2"/>
  <c r="K118" i="2"/>
  <c r="K119" i="2"/>
  <c r="K120" i="2"/>
  <c r="K121" i="2"/>
  <c r="K122" i="2"/>
  <c r="K123" i="2"/>
  <c r="F123" i="4" s="1"/>
  <c r="K124" i="2"/>
  <c r="F124" i="4" s="1"/>
  <c r="K125" i="2"/>
  <c r="F125" i="4" s="1"/>
  <c r="K126" i="2"/>
  <c r="F126" i="4" s="1"/>
  <c r="K127" i="2"/>
  <c r="F127" i="4" s="1"/>
  <c r="K128" i="2"/>
  <c r="F128" i="4" s="1"/>
  <c r="K129" i="2"/>
  <c r="F129" i="4" s="1"/>
  <c r="K130" i="2"/>
  <c r="F130" i="4" s="1"/>
  <c r="K131" i="2"/>
  <c r="F131" i="4" s="1"/>
  <c r="K132" i="2"/>
  <c r="K133" i="2"/>
  <c r="K134" i="2"/>
  <c r="K135" i="2"/>
  <c r="F135" i="4" s="1"/>
  <c r="K136" i="2"/>
  <c r="F136" i="4" s="1"/>
  <c r="K137" i="2"/>
  <c r="F137" i="4" s="1"/>
  <c r="K138" i="2"/>
  <c r="F138" i="4" s="1"/>
  <c r="K139" i="2"/>
  <c r="F139" i="4" s="1"/>
  <c r="K140" i="2"/>
  <c r="K141" i="2"/>
  <c r="K142" i="2"/>
  <c r="F142" i="4" s="1"/>
  <c r="C2" i="2"/>
  <c r="B2" i="4" s="1"/>
  <c r="C3" i="2"/>
  <c r="C4" i="2"/>
  <c r="C5" i="2"/>
  <c r="C6" i="2"/>
  <c r="C7" i="2"/>
  <c r="C8" i="2"/>
  <c r="B8" i="4" s="1"/>
  <c r="C9" i="2"/>
  <c r="B9" i="4" s="1"/>
  <c r="C10" i="2"/>
  <c r="B10" i="4" s="1"/>
  <c r="C11" i="2"/>
  <c r="B11" i="4" s="1"/>
  <c r="C12" i="2"/>
  <c r="B12" i="4" s="1"/>
  <c r="C13" i="2"/>
  <c r="B13" i="4" s="1"/>
  <c r="C14" i="2"/>
  <c r="B14" i="4" s="1"/>
  <c r="C15" i="2"/>
  <c r="C16" i="2"/>
  <c r="B16" i="4" s="1"/>
  <c r="C17" i="2"/>
  <c r="B17" i="4" s="1"/>
  <c r="C18" i="2"/>
  <c r="B18" i="4" s="1"/>
  <c r="C19" i="2"/>
  <c r="B19" i="4" s="1"/>
  <c r="C20" i="2"/>
  <c r="B20" i="4" s="1"/>
  <c r="C21" i="2"/>
  <c r="C22" i="2"/>
  <c r="C23" i="2"/>
  <c r="B23" i="4" s="1"/>
  <c r="C24" i="2"/>
  <c r="B24" i="4" s="1"/>
  <c r="C25" i="2"/>
  <c r="B25" i="4" s="1"/>
  <c r="C26" i="2"/>
  <c r="B26" i="4" s="1"/>
  <c r="C27" i="2"/>
  <c r="C28" i="2"/>
  <c r="B28" i="4" s="1"/>
  <c r="C29" i="2"/>
  <c r="B29" i="4" s="1"/>
  <c r="C30" i="2"/>
  <c r="B30" i="4" s="1"/>
  <c r="C31" i="2"/>
  <c r="B31" i="4" s="1"/>
  <c r="C32" i="2"/>
  <c r="B32" i="4" s="1"/>
  <c r="C33" i="2"/>
  <c r="C34" i="2"/>
  <c r="C35" i="2"/>
  <c r="C36" i="2"/>
  <c r="C37" i="2"/>
  <c r="C38" i="2"/>
  <c r="C39" i="2"/>
  <c r="C40" i="2"/>
  <c r="B40" i="4" s="1"/>
  <c r="C41" i="2"/>
  <c r="B41" i="4" s="1"/>
  <c r="C42" i="2"/>
  <c r="B42" i="4" s="1"/>
  <c r="C43" i="2"/>
  <c r="B43" i="4" s="1"/>
  <c r="C44" i="2"/>
  <c r="B44" i="4" s="1"/>
  <c r="C45" i="2"/>
  <c r="B45" i="4" s="1"/>
  <c r="C46" i="2"/>
  <c r="B46" i="4" s="1"/>
  <c r="C47" i="2"/>
  <c r="B47" i="4" s="1"/>
  <c r="C48" i="2"/>
  <c r="B48" i="4" s="1"/>
  <c r="C49" i="2"/>
  <c r="B49" i="4" s="1"/>
  <c r="C50" i="2"/>
  <c r="B50" i="4" s="1"/>
  <c r="C51" i="2"/>
  <c r="C52" i="2"/>
  <c r="B52" i="4" s="1"/>
  <c r="C53" i="2"/>
  <c r="B53" i="4" s="1"/>
  <c r="C54" i="2"/>
  <c r="B54" i="4" s="1"/>
  <c r="C55" i="2"/>
  <c r="B55" i="4" s="1"/>
  <c r="C56" i="2"/>
  <c r="B56" i="4" s="1"/>
  <c r="C57" i="2"/>
  <c r="C58" i="2"/>
  <c r="C59" i="2"/>
  <c r="C60" i="2"/>
  <c r="C61" i="2"/>
  <c r="C62" i="2"/>
  <c r="B62" i="4" s="1"/>
  <c r="C63" i="2"/>
  <c r="C64" i="2"/>
  <c r="B64" i="4" s="1"/>
  <c r="C65" i="2"/>
  <c r="B65" i="4" s="1"/>
  <c r="C66" i="2"/>
  <c r="B66" i="4" s="1"/>
  <c r="C67" i="2"/>
  <c r="B67" i="4" s="1"/>
  <c r="C68" i="2"/>
  <c r="B68" i="4" s="1"/>
  <c r="C69" i="2"/>
  <c r="C70" i="2"/>
  <c r="B70" i="4" s="1"/>
  <c r="C71" i="2"/>
  <c r="B71" i="4" s="1"/>
  <c r="C72" i="2"/>
  <c r="B72" i="4" s="1"/>
  <c r="C73" i="2"/>
  <c r="B73" i="4" s="1"/>
  <c r="C74" i="2"/>
  <c r="B74" i="4" s="1"/>
  <c r="C75" i="2"/>
  <c r="C76" i="2"/>
  <c r="B76" i="4" s="1"/>
  <c r="C77" i="2"/>
  <c r="B77" i="4" s="1"/>
  <c r="C78" i="2"/>
  <c r="B78" i="4" s="1"/>
  <c r="C79" i="2"/>
  <c r="C80" i="2"/>
  <c r="B80" i="4" s="1"/>
  <c r="C81" i="2"/>
  <c r="C82" i="2"/>
  <c r="C83" i="2"/>
  <c r="B83" i="4" s="1"/>
  <c r="C84" i="2"/>
  <c r="B84" i="4" s="1"/>
  <c r="C85" i="2"/>
  <c r="B85" i="4" s="1"/>
  <c r="C86" i="2"/>
  <c r="B86" i="4" s="1"/>
  <c r="C87" i="2"/>
  <c r="C88" i="2"/>
  <c r="B88" i="4" s="1"/>
  <c r="C89" i="2"/>
  <c r="B89" i="4" s="1"/>
  <c r="C90" i="2"/>
  <c r="B90" i="4" s="1"/>
  <c r="C91" i="2"/>
  <c r="C92" i="2"/>
  <c r="B92" i="4" s="1"/>
  <c r="C93" i="2"/>
  <c r="C94" i="2"/>
  <c r="C95" i="2"/>
  <c r="C96" i="2"/>
  <c r="C97" i="2"/>
  <c r="C98" i="2"/>
  <c r="C99" i="2"/>
  <c r="C100" i="2"/>
  <c r="C101" i="2"/>
  <c r="B101" i="4" s="1"/>
  <c r="C102" i="2"/>
  <c r="B102" i="4" s="1"/>
  <c r="C103" i="2"/>
  <c r="C104" i="2"/>
  <c r="B104" i="4" s="1"/>
  <c r="C105" i="2"/>
  <c r="B105" i="4" s="1"/>
  <c r="C106" i="2"/>
  <c r="B106" i="4" s="1"/>
  <c r="C107" i="2"/>
  <c r="B107" i="4" s="1"/>
  <c r="C108" i="2"/>
  <c r="B108" i="4" s="1"/>
  <c r="C109" i="2"/>
  <c r="B109" i="4" s="1"/>
  <c r="C110" i="2"/>
  <c r="B110" i="4" s="1"/>
  <c r="C111" i="2"/>
  <c r="C112" i="2"/>
  <c r="C113" i="2"/>
  <c r="B113" i="4" s="1"/>
  <c r="C114" i="2"/>
  <c r="B114" i="4" s="1"/>
  <c r="C115" i="2"/>
  <c r="C116" i="2"/>
  <c r="B116" i="4" s="1"/>
  <c r="C117" i="2"/>
  <c r="B117" i="4" s="1"/>
  <c r="C118" i="2"/>
  <c r="B118" i="4" s="1"/>
  <c r="C119" i="2"/>
  <c r="B119" i="4" s="1"/>
  <c r="C120" i="2"/>
  <c r="B120" i="4" s="1"/>
  <c r="C121" i="2"/>
  <c r="B121" i="4" s="1"/>
  <c r="C122" i="2"/>
  <c r="B122" i="4" s="1"/>
  <c r="C123" i="2"/>
  <c r="C124" i="2"/>
  <c r="C125" i="2"/>
  <c r="B125" i="4" s="1"/>
  <c r="C126" i="2"/>
  <c r="B126" i="4" s="1"/>
  <c r="C127" i="2"/>
  <c r="C128" i="2"/>
  <c r="B128" i="4" s="1"/>
  <c r="C129" i="2"/>
  <c r="C130" i="2"/>
  <c r="C131" i="2"/>
  <c r="C132" i="2"/>
  <c r="B132" i="4" s="1"/>
  <c r="C133" i="2"/>
  <c r="B133" i="4" s="1"/>
  <c r="C134" i="2"/>
  <c r="B134" i="4" s="1"/>
  <c r="C135" i="2"/>
  <c r="C136" i="2"/>
  <c r="C137" i="2"/>
  <c r="B137" i="4" s="1"/>
  <c r="C138" i="2"/>
  <c r="B138" i="4" s="1"/>
  <c r="C139" i="2"/>
  <c r="C140" i="2"/>
  <c r="B140" i="4" s="1"/>
  <c r="C141" i="2"/>
  <c r="C142" i="2"/>
  <c r="M2" i="2"/>
  <c r="G2" i="4" s="1"/>
  <c r="M3" i="2"/>
  <c r="G3" i="4" s="1"/>
  <c r="M4" i="2"/>
  <c r="G4" i="4" s="1"/>
  <c r="M5" i="2"/>
  <c r="G5" i="4" s="1"/>
  <c r="M6" i="2"/>
  <c r="M7" i="2"/>
  <c r="M8" i="2"/>
  <c r="M9" i="2"/>
  <c r="M10" i="2"/>
  <c r="M11" i="2"/>
  <c r="G11" i="4" s="1"/>
  <c r="M12" i="2"/>
  <c r="G12" i="4" s="1"/>
  <c r="M13" i="2"/>
  <c r="G13" i="4" s="1"/>
  <c r="M14" i="2"/>
  <c r="G14" i="4" s="1"/>
  <c r="M15" i="2"/>
  <c r="G15" i="4" s="1"/>
  <c r="M16" i="2"/>
  <c r="G16" i="4" s="1"/>
  <c r="M17" i="2"/>
  <c r="M18" i="2"/>
  <c r="M19" i="2"/>
  <c r="M20" i="2"/>
  <c r="M21" i="2"/>
  <c r="M22" i="2"/>
  <c r="M23" i="2"/>
  <c r="G23" i="4" s="1"/>
  <c r="M24" i="2"/>
  <c r="G24" i="4" s="1"/>
  <c r="M25" i="2"/>
  <c r="G25" i="4" s="1"/>
  <c r="M26" i="2"/>
  <c r="G26" i="4" s="1"/>
  <c r="M27" i="2"/>
  <c r="G27" i="4" s="1"/>
  <c r="M28" i="2"/>
  <c r="G28" i="4" s="1"/>
  <c r="M29" i="2"/>
  <c r="G29" i="4" s="1"/>
  <c r="M30" i="2"/>
  <c r="M31" i="2"/>
  <c r="M32" i="2"/>
  <c r="M33" i="2"/>
  <c r="M34" i="2"/>
  <c r="M35" i="2"/>
  <c r="G35" i="4" s="1"/>
  <c r="M36" i="2"/>
  <c r="G36" i="4" s="1"/>
  <c r="M37" i="2"/>
  <c r="G37" i="4" s="1"/>
  <c r="M38" i="2"/>
  <c r="G38" i="4" s="1"/>
  <c r="M39" i="2"/>
  <c r="G39" i="4" s="1"/>
  <c r="M40" i="2"/>
  <c r="G40" i="4" s="1"/>
  <c r="M41" i="2"/>
  <c r="M42" i="2"/>
  <c r="M43" i="2"/>
  <c r="M44" i="2"/>
  <c r="M45" i="2"/>
  <c r="M46" i="2"/>
  <c r="M47" i="2"/>
  <c r="G47" i="4" s="1"/>
  <c r="M48" i="2"/>
  <c r="G48" i="4" s="1"/>
  <c r="M49" i="2"/>
  <c r="G49" i="4" s="1"/>
  <c r="M50" i="2"/>
  <c r="G50" i="4" s="1"/>
  <c r="M51" i="2"/>
  <c r="G51" i="4" s="1"/>
  <c r="M52" i="2"/>
  <c r="G52" i="4" s="1"/>
  <c r="M53" i="2"/>
  <c r="G53" i="4" s="1"/>
  <c r="M54" i="2"/>
  <c r="M55" i="2"/>
  <c r="M56" i="2"/>
  <c r="M57" i="2"/>
  <c r="M58" i="2"/>
  <c r="M59" i="2"/>
  <c r="G59" i="4" s="1"/>
  <c r="M60" i="2"/>
  <c r="G60" i="4" s="1"/>
  <c r="M61" i="2"/>
  <c r="G61" i="4" s="1"/>
  <c r="M62" i="2"/>
  <c r="G62" i="4" s="1"/>
  <c r="M63" i="2"/>
  <c r="G63" i="4" s="1"/>
  <c r="M64" i="2"/>
  <c r="G64" i="4" s="1"/>
  <c r="M65" i="2"/>
  <c r="M66" i="2"/>
  <c r="M67" i="2"/>
  <c r="M68" i="2"/>
  <c r="M69" i="2"/>
  <c r="M70" i="2"/>
  <c r="M71" i="2"/>
  <c r="G71" i="4" s="1"/>
  <c r="M72" i="2"/>
  <c r="G72" i="4" s="1"/>
  <c r="M73" i="2"/>
  <c r="G73" i="4" s="1"/>
  <c r="M74" i="2"/>
  <c r="G74" i="4" s="1"/>
  <c r="M75" i="2"/>
  <c r="G75" i="4" s="1"/>
  <c r="M76" i="2"/>
  <c r="G76" i="4" s="1"/>
  <c r="M77" i="2"/>
  <c r="G77" i="4" s="1"/>
  <c r="M78" i="2"/>
  <c r="M79" i="2"/>
  <c r="M80" i="2"/>
  <c r="M81" i="2"/>
  <c r="M82" i="2"/>
  <c r="M83" i="2"/>
  <c r="G83" i="4" s="1"/>
  <c r="M84" i="2"/>
  <c r="G84" i="4" s="1"/>
  <c r="M85" i="2"/>
  <c r="G85" i="4" s="1"/>
  <c r="M86" i="2"/>
  <c r="G86" i="4" s="1"/>
  <c r="M87" i="2"/>
  <c r="G87" i="4" s="1"/>
  <c r="M88" i="2"/>
  <c r="G88" i="4" s="1"/>
  <c r="M89" i="2"/>
  <c r="M90" i="2"/>
  <c r="M91" i="2"/>
  <c r="M92" i="2"/>
  <c r="M93" i="2"/>
  <c r="M94" i="2"/>
  <c r="M95" i="2"/>
  <c r="G95" i="4" s="1"/>
  <c r="M96" i="2"/>
  <c r="G96" i="4" s="1"/>
  <c r="M97" i="2"/>
  <c r="G97" i="4" s="1"/>
  <c r="M98" i="2"/>
  <c r="G98" i="4" s="1"/>
  <c r="M99" i="2"/>
  <c r="G99" i="4" s="1"/>
  <c r="M100" i="2"/>
  <c r="G100" i="4" s="1"/>
  <c r="M101" i="2"/>
  <c r="G101" i="4" s="1"/>
  <c r="M102" i="2"/>
  <c r="M103" i="2"/>
  <c r="M104" i="2"/>
  <c r="M105" i="2"/>
  <c r="M106" i="2"/>
  <c r="M107" i="2"/>
  <c r="G107" i="4" s="1"/>
  <c r="M108" i="2"/>
  <c r="G108" i="4" s="1"/>
  <c r="M109" i="2"/>
  <c r="G109" i="4" s="1"/>
  <c r="M110" i="2"/>
  <c r="G110" i="4" s="1"/>
  <c r="M111" i="2"/>
  <c r="G111" i="4" s="1"/>
  <c r="M112" i="2"/>
  <c r="G112" i="4" s="1"/>
  <c r="M113" i="2"/>
  <c r="M114" i="2"/>
  <c r="M115" i="2"/>
  <c r="M116" i="2"/>
  <c r="M117" i="2"/>
  <c r="M118" i="2"/>
  <c r="M119" i="2"/>
  <c r="G119" i="4" s="1"/>
  <c r="M120" i="2"/>
  <c r="G120" i="4" s="1"/>
  <c r="M121" i="2"/>
  <c r="G121" i="4" s="1"/>
  <c r="M122" i="2"/>
  <c r="G122" i="4" s="1"/>
  <c r="M123" i="2"/>
  <c r="G123" i="4" s="1"/>
  <c r="M124" i="2"/>
  <c r="G124" i="4" s="1"/>
  <c r="M125" i="2"/>
  <c r="G125" i="4" s="1"/>
  <c r="M126" i="2"/>
  <c r="M127" i="2"/>
  <c r="M128" i="2"/>
  <c r="M129" i="2"/>
  <c r="M130" i="2"/>
  <c r="M131" i="2"/>
  <c r="G131" i="4" s="1"/>
  <c r="M132" i="2"/>
  <c r="G132" i="4" s="1"/>
  <c r="M133" i="2"/>
  <c r="G133" i="4" s="1"/>
  <c r="M134" i="2"/>
  <c r="G134" i="4" s="1"/>
  <c r="M135" i="2"/>
  <c r="G135" i="4" s="1"/>
  <c r="M136" i="2"/>
  <c r="G136" i="4" s="1"/>
  <c r="M137" i="2"/>
  <c r="M138" i="2"/>
  <c r="M139" i="2"/>
  <c r="M140" i="2"/>
  <c r="M141" i="2"/>
  <c r="M142" i="2"/>
  <c r="I2" i="2"/>
  <c r="E2" i="2"/>
  <c r="E3" i="2"/>
  <c r="C3" i="4" s="1"/>
  <c r="E4" i="2"/>
  <c r="C4" i="4" s="1"/>
  <c r="E5" i="2"/>
  <c r="C5" i="4" s="1"/>
  <c r="E6" i="2"/>
  <c r="C6" i="4" s="1"/>
  <c r="E7" i="2"/>
  <c r="C7" i="4" s="1"/>
  <c r="E8" i="2"/>
  <c r="E9" i="2"/>
  <c r="E10" i="2"/>
  <c r="E11" i="2"/>
  <c r="E12" i="2"/>
  <c r="E13" i="2"/>
  <c r="C13" i="4" s="1"/>
  <c r="E14" i="2"/>
  <c r="E15" i="2"/>
  <c r="C15" i="4" s="1"/>
  <c r="E16" i="2"/>
  <c r="C16" i="4" s="1"/>
  <c r="E17" i="2"/>
  <c r="C17" i="4" s="1"/>
  <c r="E18" i="2"/>
  <c r="C18" i="4" s="1"/>
  <c r="E19" i="2"/>
  <c r="C19" i="4" s="1"/>
  <c r="E20" i="2"/>
  <c r="E21" i="2"/>
  <c r="E22" i="2"/>
  <c r="E23" i="2"/>
  <c r="E24" i="2"/>
  <c r="E25" i="2"/>
  <c r="E26" i="2"/>
  <c r="E27" i="2"/>
  <c r="C27" i="4" s="1"/>
  <c r="E28" i="2"/>
  <c r="C28" i="4" s="1"/>
  <c r="E29" i="2"/>
  <c r="C29" i="4" s="1"/>
  <c r="E30" i="2"/>
  <c r="C30" i="4" s="1"/>
  <c r="E31" i="2"/>
  <c r="C31" i="4" s="1"/>
  <c r="E32" i="2"/>
  <c r="E33" i="2"/>
  <c r="E34" i="2"/>
  <c r="E35" i="2"/>
  <c r="E36" i="2"/>
  <c r="E37" i="2"/>
  <c r="E38" i="2"/>
  <c r="E39" i="2"/>
  <c r="C39" i="4" s="1"/>
  <c r="E40" i="2"/>
  <c r="C40" i="4" s="1"/>
  <c r="E41" i="2"/>
  <c r="C41" i="4" s="1"/>
  <c r="E42" i="2"/>
  <c r="C42" i="4" s="1"/>
  <c r="E43" i="2"/>
  <c r="C43" i="4" s="1"/>
  <c r="E44" i="2"/>
  <c r="E45" i="2"/>
  <c r="E46" i="2"/>
  <c r="E47" i="2"/>
  <c r="E48" i="2"/>
  <c r="E49" i="2"/>
  <c r="C49" i="4" s="1"/>
  <c r="E50" i="2"/>
  <c r="C50" i="4" s="1"/>
  <c r="E51" i="2"/>
  <c r="C51" i="4" s="1"/>
  <c r="E52" i="2"/>
  <c r="C52" i="4" s="1"/>
  <c r="E53" i="2"/>
  <c r="C53" i="4" s="1"/>
  <c r="E54" i="2"/>
  <c r="C54" i="4" s="1"/>
  <c r="E55" i="2"/>
  <c r="C55" i="4" s="1"/>
  <c r="E56" i="2"/>
  <c r="E57" i="2"/>
  <c r="E58" i="2"/>
  <c r="E59" i="2"/>
  <c r="E60" i="2"/>
  <c r="E61" i="2"/>
  <c r="E62" i="2"/>
  <c r="E63" i="2"/>
  <c r="C63" i="4" s="1"/>
  <c r="E64" i="2"/>
  <c r="C64" i="4" s="1"/>
  <c r="E65" i="2"/>
  <c r="C65" i="4" s="1"/>
  <c r="E66" i="2"/>
  <c r="C66" i="4" s="1"/>
  <c r="E67" i="2"/>
  <c r="C67" i="4" s="1"/>
  <c r="E68" i="2"/>
  <c r="E69" i="2"/>
  <c r="E70" i="2"/>
  <c r="E71" i="2"/>
  <c r="E72" i="2"/>
  <c r="E73" i="2"/>
  <c r="C73" i="4" s="1"/>
  <c r="E74" i="2"/>
  <c r="C74" i="4" s="1"/>
  <c r="E75" i="2"/>
  <c r="C75" i="4" s="1"/>
  <c r="E76" i="2"/>
  <c r="C76" i="4" s="1"/>
  <c r="E77" i="2"/>
  <c r="C77" i="4" s="1"/>
  <c r="E78" i="2"/>
  <c r="C78" i="4" s="1"/>
  <c r="E79" i="2"/>
  <c r="C79" i="4" s="1"/>
  <c r="E80" i="2"/>
  <c r="E81" i="2"/>
  <c r="E82" i="2"/>
  <c r="E83" i="2"/>
  <c r="E84" i="2"/>
  <c r="E85" i="2"/>
  <c r="E86" i="2"/>
  <c r="E87" i="2"/>
  <c r="C87" i="4" s="1"/>
  <c r="E88" i="2"/>
  <c r="C88" i="4" s="1"/>
  <c r="E89" i="2"/>
  <c r="C89" i="4" s="1"/>
  <c r="E90" i="2"/>
  <c r="C90" i="4" s="1"/>
  <c r="E91" i="2"/>
  <c r="C91" i="4" s="1"/>
  <c r="E92" i="2"/>
  <c r="E93" i="2"/>
  <c r="E94" i="2"/>
  <c r="E95" i="2"/>
  <c r="E96" i="2"/>
  <c r="E97" i="2"/>
  <c r="E98" i="2"/>
  <c r="E99" i="2"/>
  <c r="C99" i="4" s="1"/>
  <c r="E100" i="2"/>
  <c r="C100" i="4" s="1"/>
  <c r="E101" i="2"/>
  <c r="C101" i="4" s="1"/>
  <c r="E102" i="2"/>
  <c r="C102" i="4" s="1"/>
  <c r="E103" i="2"/>
  <c r="C103" i="4" s="1"/>
  <c r="E104" i="2"/>
  <c r="E105" i="2"/>
  <c r="E106" i="2"/>
  <c r="E107" i="2"/>
  <c r="E108" i="2"/>
  <c r="E109" i="2"/>
  <c r="E110" i="2"/>
  <c r="C110" i="4" s="1"/>
  <c r="E111" i="2"/>
  <c r="C111" i="4" s="1"/>
  <c r="E112" i="2"/>
  <c r="C112" i="4" s="1"/>
  <c r="E113" i="2"/>
  <c r="C113" i="4" s="1"/>
  <c r="E114" i="2"/>
  <c r="C114" i="4" s="1"/>
  <c r="E115" i="2"/>
  <c r="C115" i="4" s="1"/>
  <c r="E116" i="2"/>
  <c r="E117" i="2"/>
  <c r="E118" i="2"/>
  <c r="E119" i="2"/>
  <c r="E120" i="2"/>
  <c r="E121" i="2"/>
  <c r="E122" i="2"/>
  <c r="E123" i="2"/>
  <c r="C123" i="4" s="1"/>
  <c r="E124" i="2"/>
  <c r="C124" i="4" s="1"/>
  <c r="E125" i="2"/>
  <c r="C125" i="4" s="1"/>
  <c r="E126" i="2"/>
  <c r="C126" i="4" s="1"/>
  <c r="E127" i="2"/>
  <c r="C127" i="4" s="1"/>
  <c r="E128" i="2"/>
  <c r="E129" i="2"/>
  <c r="E130" i="2"/>
  <c r="E131" i="2"/>
  <c r="E132" i="2"/>
  <c r="E133" i="2"/>
  <c r="C133" i="4" s="1"/>
  <c r="E134" i="2"/>
  <c r="E135" i="2"/>
  <c r="C135" i="4" s="1"/>
  <c r="E136" i="2"/>
  <c r="C136" i="4" s="1"/>
  <c r="E137" i="2"/>
  <c r="C137" i="4" s="1"/>
  <c r="E138" i="2"/>
  <c r="C138" i="4" s="1"/>
  <c r="E139" i="2"/>
  <c r="C139" i="4" s="1"/>
  <c r="E140" i="2"/>
  <c r="E141" i="2"/>
  <c r="E142" i="2"/>
  <c r="G2" i="2"/>
  <c r="G3" i="2"/>
  <c r="D3" i="4" s="1"/>
  <c r="G4" i="2"/>
  <c r="G5" i="2"/>
  <c r="G6" i="2"/>
  <c r="D6" i="4" s="1"/>
  <c r="G7" i="2"/>
  <c r="D7" i="4" s="1"/>
  <c r="G8" i="2"/>
  <c r="D8" i="4" s="1"/>
  <c r="G9" i="2"/>
  <c r="D9" i="4" s="1"/>
  <c r="G10" i="2"/>
  <c r="D10" i="4" s="1"/>
  <c r="G11" i="2"/>
  <c r="D11" i="4" s="1"/>
  <c r="G12" i="2"/>
  <c r="D12" i="4" s="1"/>
  <c r="G13" i="2"/>
  <c r="D13" i="4" s="1"/>
  <c r="G14" i="2"/>
  <c r="D14" i="4" s="1"/>
  <c r="G15" i="2"/>
  <c r="D15" i="4" s="1"/>
  <c r="G16" i="2"/>
  <c r="G17" i="2"/>
  <c r="G18" i="2"/>
  <c r="G19" i="2"/>
  <c r="G20" i="2"/>
  <c r="G21" i="2"/>
  <c r="G22" i="2"/>
  <c r="G23" i="2"/>
  <c r="D23" i="4" s="1"/>
  <c r="G24" i="2"/>
  <c r="D24" i="4" s="1"/>
  <c r="G25" i="2"/>
  <c r="D25" i="4" s="1"/>
  <c r="G26" i="2"/>
  <c r="D26" i="4" s="1"/>
  <c r="G27" i="2"/>
  <c r="D27" i="4" s="1"/>
  <c r="G28" i="2"/>
  <c r="D28" i="4" s="1"/>
  <c r="G29" i="2"/>
  <c r="D29" i="4" s="1"/>
  <c r="G30" i="2"/>
  <c r="D30" i="4" s="1"/>
  <c r="G31" i="2"/>
  <c r="D31" i="4" s="1"/>
  <c r="G32" i="2"/>
  <c r="D32" i="4" s="1"/>
  <c r="G33" i="2"/>
  <c r="D33" i="4" s="1"/>
  <c r="G34" i="2"/>
  <c r="D34" i="4" s="1"/>
  <c r="G35" i="2"/>
  <c r="D35" i="4" s="1"/>
  <c r="G36" i="2"/>
  <c r="D36" i="4" s="1"/>
  <c r="G37" i="2"/>
  <c r="D37" i="4" s="1"/>
  <c r="G38" i="2"/>
  <c r="D38" i="4" s="1"/>
  <c r="G39" i="2"/>
  <c r="D39" i="4" s="1"/>
  <c r="G40" i="2"/>
  <c r="G41" i="2"/>
  <c r="G42" i="2"/>
  <c r="G43" i="2"/>
  <c r="G44" i="2"/>
  <c r="G45" i="2"/>
  <c r="D45" i="4" s="1"/>
  <c r="G46" i="2"/>
  <c r="D46" i="4" s="1"/>
  <c r="G47" i="2"/>
  <c r="D47" i="4" s="1"/>
  <c r="G48" i="2"/>
  <c r="D48" i="4" s="1"/>
  <c r="G49" i="2"/>
  <c r="D49" i="4" s="1"/>
  <c r="G50" i="2"/>
  <c r="D50" i="4" s="1"/>
  <c r="G51" i="2"/>
  <c r="D51" i="4" s="1"/>
  <c r="G52" i="2"/>
  <c r="D52" i="4" s="1"/>
  <c r="G53" i="2"/>
  <c r="D53" i="4" s="1"/>
  <c r="G54" i="2"/>
  <c r="D54" i="4" s="1"/>
  <c r="G55" i="2"/>
  <c r="D55" i="4" s="1"/>
  <c r="G56" i="2"/>
  <c r="D56" i="4" s="1"/>
  <c r="G57" i="2"/>
  <c r="D57" i="4" s="1"/>
  <c r="G58" i="2"/>
  <c r="D58" i="4" s="1"/>
  <c r="G59" i="2"/>
  <c r="D59" i="4" s="1"/>
  <c r="G60" i="2"/>
  <c r="D60" i="4" s="1"/>
  <c r="G61" i="2"/>
  <c r="D61" i="4" s="1"/>
  <c r="G62" i="2"/>
  <c r="D62" i="4" s="1"/>
  <c r="G63" i="2"/>
  <c r="D63" i="4" s="1"/>
  <c r="G64" i="2"/>
  <c r="G65" i="2"/>
  <c r="G66" i="2"/>
  <c r="G67" i="2"/>
  <c r="D67" i="4" s="1"/>
  <c r="G68" i="2"/>
  <c r="D68" i="4" s="1"/>
  <c r="G69" i="2"/>
  <c r="D69" i="4" s="1"/>
  <c r="G70" i="2"/>
  <c r="D70" i="4" s="1"/>
  <c r="G71" i="2"/>
  <c r="D71" i="4" s="1"/>
  <c r="G72" i="2"/>
  <c r="D72" i="4" s="1"/>
  <c r="G73" i="2"/>
  <c r="D73" i="4" s="1"/>
  <c r="G74" i="2"/>
  <c r="D74" i="4" s="1"/>
  <c r="G75" i="2"/>
  <c r="D75" i="4" s="1"/>
  <c r="G76" i="2"/>
  <c r="G77" i="2"/>
  <c r="G78" i="2"/>
  <c r="G79" i="2"/>
  <c r="G80" i="2"/>
  <c r="G81" i="2"/>
  <c r="G82" i="2"/>
  <c r="G83" i="2"/>
  <c r="D83" i="4" s="1"/>
  <c r="G84" i="2"/>
  <c r="D84" i="4" s="1"/>
  <c r="G85" i="2"/>
  <c r="D85" i="4" s="1"/>
  <c r="G86" i="2"/>
  <c r="D86" i="4" s="1"/>
  <c r="G87" i="2"/>
  <c r="D87" i="4" s="1"/>
  <c r="G88" i="2"/>
  <c r="G89" i="2"/>
  <c r="D89" i="4" s="1"/>
  <c r="G90" i="2"/>
  <c r="D90" i="4" s="1"/>
  <c r="G91" i="2"/>
  <c r="D91" i="4" s="1"/>
  <c r="G92" i="2"/>
  <c r="D92" i="4" s="1"/>
  <c r="G93" i="2"/>
  <c r="D93" i="4" s="1"/>
  <c r="G94" i="2"/>
  <c r="D94" i="4" s="1"/>
  <c r="G95" i="2"/>
  <c r="D95" i="4" s="1"/>
  <c r="G96" i="2"/>
  <c r="D96" i="4" s="1"/>
  <c r="G97" i="2"/>
  <c r="D97" i="4" s="1"/>
  <c r="G98" i="2"/>
  <c r="D98" i="4" s="1"/>
  <c r="G99" i="2"/>
  <c r="D99" i="4" s="1"/>
  <c r="G100" i="2"/>
  <c r="G101" i="2"/>
  <c r="G102" i="2"/>
  <c r="G103" i="2"/>
  <c r="G104" i="2"/>
  <c r="G105" i="2"/>
  <c r="G106" i="2"/>
  <c r="D106" i="4" s="1"/>
  <c r="G107" i="2"/>
  <c r="D107" i="4" s="1"/>
  <c r="G108" i="2"/>
  <c r="D108" i="4" s="1"/>
  <c r="G109" i="2"/>
  <c r="D109" i="4" s="1"/>
  <c r="G110" i="2"/>
  <c r="D110" i="4" s="1"/>
  <c r="G111" i="2"/>
  <c r="D111" i="4" s="1"/>
  <c r="G112" i="2"/>
  <c r="D112" i="4" s="1"/>
  <c r="G113" i="2"/>
  <c r="G114" i="2"/>
  <c r="D114" i="4" s="1"/>
  <c r="G115" i="2"/>
  <c r="D115" i="4" s="1"/>
  <c r="G116" i="2"/>
  <c r="D116" i="4" s="1"/>
  <c r="G117" i="2"/>
  <c r="D117" i="4" s="1"/>
  <c r="G118" i="2"/>
  <c r="D118" i="4" s="1"/>
  <c r="G119" i="2"/>
  <c r="D119" i="4" s="1"/>
  <c r="G120" i="2"/>
  <c r="D120" i="4" s="1"/>
  <c r="G121" i="2"/>
  <c r="D121" i="4" s="1"/>
  <c r="G122" i="2"/>
  <c r="D122" i="4" s="1"/>
  <c r="G123" i="2"/>
  <c r="D123" i="4" s="1"/>
  <c r="G124" i="2"/>
  <c r="G125" i="2"/>
  <c r="G126" i="2"/>
  <c r="G127" i="2"/>
  <c r="G128" i="2"/>
  <c r="D128" i="4" s="1"/>
  <c r="G129" i="2"/>
  <c r="D129" i="4" s="1"/>
  <c r="G130" i="2"/>
  <c r="D130" i="4" s="1"/>
  <c r="G131" i="2"/>
  <c r="D131" i="4" s="1"/>
  <c r="G132" i="2"/>
  <c r="D132" i="4" s="1"/>
  <c r="G133" i="2"/>
  <c r="D133" i="4" s="1"/>
  <c r="G134" i="2"/>
  <c r="D134" i="4" s="1"/>
  <c r="G135" i="2"/>
  <c r="D135" i="4" s="1"/>
  <c r="G136" i="2"/>
  <c r="D136" i="4" s="1"/>
  <c r="G137" i="2"/>
  <c r="G138" i="2"/>
  <c r="G139" i="2"/>
  <c r="G140" i="2"/>
  <c r="G141" i="2"/>
  <c r="G142" i="2"/>
  <c r="I96" i="2" l="1"/>
  <c r="E96" i="4" s="1"/>
  <c r="I133" i="2"/>
  <c r="E133" i="4" s="1"/>
  <c r="I21" i="2"/>
  <c r="E21" i="4" s="1"/>
</calcChain>
</file>

<file path=xl/sharedStrings.xml><?xml version="1.0" encoding="utf-8"?>
<sst xmlns="http://schemas.openxmlformats.org/spreadsheetml/2006/main" count="1729" uniqueCount="290">
  <si>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</si>
  <si>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</si>
  <si>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</si>
  <si>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</si>
  <si>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</si>
  <si>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</si>
  <si>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</si>
  <si>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</si>
  <si>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</si>
  <si>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</si>
  <si>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</si>
  <si>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</si>
  <si>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</si>
  <si>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</si>
  <si>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</si>
  <si>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</si>
  <si>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</si>
  <si>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</si>
  <si>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</si>
  <si>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</si>
  <si>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</si>
  <si>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</si>
  <si>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</si>
  <si>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</si>
  <si>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</si>
  <si>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</si>
  <si>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</si>
  <si>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</si>
  <si>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</si>
  <si>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</si>
  <si>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</si>
  <si>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</si>
  <si>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</si>
  <si>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</si>
  <si>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</si>
  <si>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</si>
  <si>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</si>
  <si>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</si>
  <si>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</si>
  <si>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</si>
  <si>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</si>
  <si>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</si>
  <si>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</si>
  <si>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</si>
  <si>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</si>
  <si>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</si>
  <si>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</si>
  <si>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</si>
  <si>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</si>
  <si>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</si>
  <si>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</si>
  <si>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</si>
  <si>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</si>
  <si>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</si>
  <si>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</si>
  <si>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</si>
  <si>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</si>
  <si>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</si>
  <si>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</si>
  <si>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</si>
  <si>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</si>
  <si>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</si>
  <si>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</si>
  <si>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</si>
  <si>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</si>
  <si>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</si>
  <si>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</si>
  <si>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</si>
  <si>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</si>
  <si>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</si>
  <si>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</si>
  <si>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</si>
  <si>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</si>
  <si>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</si>
  <si>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</si>
  <si>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</si>
  <si>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</si>
  <si>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</si>
  <si>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</si>
  <si>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</si>
  <si>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</si>
  <si>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</si>
  <si>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</si>
  <si>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</si>
  <si>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</si>
  <si>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</si>
  <si>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</si>
  <si>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</si>
  <si>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</si>
  <si>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</si>
  <si>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</si>
  <si>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</si>
  <si>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</si>
  <si>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</si>
  <si>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</si>
  <si>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</si>
  <si>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</si>
  <si>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</si>
  <si>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</si>
  <si>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</si>
  <si>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</si>
  <si>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</si>
  <si>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</si>
  <si>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</si>
  <si>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</si>
  <si>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</si>
  <si>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</si>
  <si>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</si>
  <si>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</si>
  <si>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</si>
  <si>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</si>
  <si>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</si>
  <si>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</si>
  <si>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</si>
  <si>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</si>
  <si>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</si>
  <si>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</si>
  <si>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</si>
  <si>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</si>
  <si>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</si>
  <si>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</si>
  <si>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</si>
  <si>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</si>
  <si>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</si>
  <si>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</si>
  <si>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</si>
  <si>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</si>
  <si>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</si>
  <si>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</si>
  <si>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</si>
  <si>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</si>
  <si>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</si>
  <si>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</si>
  <si>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</si>
  <si>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</si>
  <si>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</si>
  <si>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</si>
  <si>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</si>
  <si>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</si>
  <si>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</si>
  <si>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</si>
  <si>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</si>
  <si>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</si>
  <si>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</si>
  <si>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</si>
  <si>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</si>
  <si>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</si>
  <si>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</si>
  <si>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</si>
  <si>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</si>
  <si>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</si>
  <si>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</si>
  <si>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</si>
  <si>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</si>
  <si>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</si>
  <si>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</si>
  <si>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</si>
  <si>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</si>
  <si>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</si>
  <si>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</si>
  <si>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</si>
  <si>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</si>
  <si>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</si>
  <si>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</si>
  <si>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</si>
  <si>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</si>
  <si>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</si>
  <si>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</si>
  <si>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</si>
  <si>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</si>
  <si>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</si>
  <si>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</si>
  <si>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</si>
  <si>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</si>
  <si>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</si>
  <si>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</si>
  <si>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</si>
  <si>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</si>
  <si>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</si>
  <si>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</si>
  <si>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</si>
  <si>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</si>
  <si>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</si>
  <si>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</si>
  <si>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</si>
  <si>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</si>
  <si>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</si>
  <si>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</si>
  <si>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</si>
  <si>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</si>
  <si>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</si>
  <si>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</si>
  <si>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</si>
  <si>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</si>
  <si>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</si>
  <si>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</si>
  <si>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</si>
  <si>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</si>
  <si>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</si>
  <si>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</si>
  <si>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</si>
  <si>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</si>
  <si>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</si>
  <si>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</si>
  <si>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</si>
  <si>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</si>
  <si>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</si>
  <si>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</si>
  <si>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</si>
  <si>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</si>
  <si>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</si>
  <si>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</si>
  <si>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</si>
  <si>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</si>
  <si>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</si>
  <si>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</si>
  <si>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</si>
  <si>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</si>
  <si>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</si>
  <si>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</si>
  <si>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</si>
  <si>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</si>
  <si>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</si>
  <si>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</si>
  <si>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</si>
  <si>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</si>
  <si>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</si>
  <si>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</si>
  <si>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</si>
  <si>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</si>
  <si>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</si>
  <si>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</si>
  <si>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</si>
  <si>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</si>
  <si>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</si>
  <si>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</si>
  <si>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</si>
  <si>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</si>
  <si>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</si>
  <si>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</si>
  <si>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</si>
  <si>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</si>
  <si>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</si>
  <si>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</si>
  <si>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</si>
  <si>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</si>
  <si>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</si>
  <si>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</si>
  <si>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</si>
  <si>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</si>
  <si>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</si>
  <si>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</si>
  <si>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</si>
  <si>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</si>
  <si>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</si>
  <si>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</si>
  <si>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</si>
  <si>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</si>
  <si>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</si>
  <si>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</si>
  <si>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</si>
  <si>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</si>
  <si>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</si>
  <si>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</si>
  <si>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</si>
  <si>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</si>
  <si>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</si>
  <si>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</si>
  <si>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</si>
  <si>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</si>
  <si>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</si>
  <si>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</si>
  <si>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</si>
  <si>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</si>
  <si>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</si>
  <si>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</si>
  <si>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</si>
  <si>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</si>
  <si>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</si>
  <si>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</si>
  <si>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</si>
  <si>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Country2</t>
  </si>
  <si>
    <t>Department2</t>
  </si>
  <si>
    <t>Salary2</t>
  </si>
  <si>
    <t>Performance Rating2</t>
  </si>
  <si>
    <t>Name2</t>
  </si>
  <si>
    <t>Date of joining2</t>
  </si>
  <si>
    <t>Gender2</t>
  </si>
  <si>
    <t>Employee Id</t>
  </si>
  <si>
    <t>Date Of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</si>
</sst>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2" borderId="3" xfId="0" applyFill="1" applyBorder="1"/>
    <xf numFmtId="0" fontId="0" fillId="0" borderId="3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16">
    <dxf>
      <numFmt numFmtId="1" formatCode="0"/>
    </dxf>
    <dxf>
      <numFmt numFmtId="19" formatCode="dd/mm/yyyy"/>
    </dxf>
    <dxf>
      <numFmt numFmtId="165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9" formatCode="dd/mm/yyyy"/>
    </dxf>
    <dxf>
      <numFmt numFmtId="164" formatCode="yyyy\-mm\-dd\ hh:mm:ss"/>
    </dxf>
    <dxf>
      <numFmt numFmtId="165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E1DBC-A4DB-444D-AD2F-18F188228DF1}" name="Table1" displayName="Table1" ref="A1:P142" totalsRowShown="0" headerRowDxfId="15" headerRowBorderDxfId="14" tableBorderDxfId="13">
  <autoFilter ref="A1:P142" xr:uid="{42DE1DBC-A4DB-444D-AD2F-18F188228DF1}"/>
  <tableColumns count="16">
    <tableColumn id="1" xr3:uid="{5BDEDC8C-D87E-418E-9737-BD8FC7E13BC2}" name="Employee ID"/>
    <tableColumn id="2" xr3:uid="{DF16573C-9B21-4798-B3F7-39E0ED7E46F2}" name="Name"/>
    <tableColumn id="16" xr3:uid="{BC28FA74-973A-4853-AB74-23A9820E100F}" name="Name2" dataDxfId="12">
      <calculatedColumnFormula>IF(B2="","Unknown",B2)</calculatedColumnFormula>
    </tableColumn>
    <tableColumn id="3" xr3:uid="{5F8D84D9-77B4-4DC3-8EAA-C48BFC87B990}" name="Department"/>
    <tableColumn id="12" xr3:uid="{CD6EBF7A-B59E-4C99-806E-283A4BC9D0E4}" name="Department2" dataDxfId="11">
      <calculatedColumnFormula>IF(D2="","Marketing",D2)</calculatedColumnFormula>
    </tableColumn>
    <tableColumn id="4" xr3:uid="{D3ECCDB3-EDF7-47DD-B8A6-A4C3446634ED}" name="Country"/>
    <tableColumn id="10" xr3:uid="{26959547-42C9-4DF0-BB36-A0EF06DFEECF}" name="Country2" dataDxfId="10">
      <calculatedColumnFormula>IF(F2="","India",F2)</calculatedColumnFormula>
    </tableColumn>
    <tableColumn id="5" xr3:uid="{D993EB01-B6BA-4A88-85E8-F519A250ACE8}" name="Salary"/>
    <tableColumn id="13" xr3:uid="{802085EF-387F-4E51-A6D6-EB6527656F11}" name="Salary2" dataDxfId="9">
      <calculatedColumnFormula>IF(H2="N/A",AVERAGEIF($E$2:$E$142,E2,$H$2:$H$142),H2)</calculatedColumnFormula>
    </tableColumn>
    <tableColumn id="6" xr3:uid="{D9D4D8FC-5464-4756-B949-EF1F4AE287E7}" name="Date of Joining" dataDxfId="8"/>
    <tableColumn id="17" xr3:uid="{BCB2ED26-63E4-4598-A6E4-9D7137286CE9}" name="Date of joining2" dataDxfId="7">
      <calculatedColumnFormula>IF(J2="","N/A",J2)</calculatedColumnFormula>
    </tableColumn>
    <tableColumn id="7" xr3:uid="{B0DF2CA0-E90A-4E56-B66F-F169618A8EA5}" name="Performance Rating"/>
    <tableColumn id="15" xr3:uid="{722B44C6-7F86-4270-B714-D253093775DA}" name="Performance Rating2" dataDxfId="6">
      <calculatedColumnFormula>IF(L2="",2,L2)</calculatedColumnFormula>
    </tableColumn>
    <tableColumn id="8" xr3:uid="{D024C2AA-8289-449F-A1B0-05F9555E57BB}" name="Gender"/>
    <tableColumn id="18" xr3:uid="{CA8B934D-FA26-4B59-890A-0019D5012E5B}" name="Gender2" dataDxfId="5">
      <calculatedColumnFormula>IF(N2="","Female",N2)</calculatedColumnFormula>
    </tableColumn>
    <tableColumn id="9" xr3:uid="{30B6C6E8-E920-4506-9A50-58A6213DA45A}" name="Emai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3C65E1-9A70-4078-B49B-E1CE9D6D53A4}" name="Table2" displayName="Table2" ref="A1:I142" totalsRowShown="0" headerRowDxfId="4">
  <autoFilter ref="A1:I142" xr:uid="{4E3C65E1-9A70-4078-B49B-E1CE9D6D53A4}"/>
  <tableColumns count="9">
    <tableColumn id="1" xr3:uid="{B10C5084-8102-409C-A4CE-FB2018C7B5DC}" name="Employee Id" dataDxfId="3"/>
    <tableColumn id="2" xr3:uid="{A390E498-755F-44FB-8D40-8F3DB58A4D51}" name="Name">
      <calculatedColumnFormula>VLOOKUP(A2,'Data Cleaning'!$A$2:$P$142,3,FALSE)</calculatedColumnFormula>
    </tableColumn>
    <tableColumn id="3" xr3:uid="{2E12D1BC-1E2C-429E-BF1C-0605FD2A039A}" name="Department">
      <calculatedColumnFormula>VLOOKUP(A2,'Data Cleaning'!$A$2:$P$142,5,FALSE)</calculatedColumnFormula>
    </tableColumn>
    <tableColumn id="4" xr3:uid="{2B2876CE-DAD7-4E82-8B88-CADC5ED66B3A}" name="Country">
      <calculatedColumnFormula>VLOOKUP(A2,'Data Cleaning'!$A$2:$P$142,7,FALSE)</calculatedColumnFormula>
    </tableColumn>
    <tableColumn id="5" xr3:uid="{4B64B6CF-C135-4F67-AA51-AD14CBE6B8A2}" name="Salary" dataDxfId="2">
      <calculatedColumnFormula>VLOOKUP(A2,'Data Cleaning'!$A$2:$P$142,9,FALSE)</calculatedColumnFormula>
    </tableColumn>
    <tableColumn id="6" xr3:uid="{E2DD13CB-A2DE-4AFA-8925-D6418F23A79A}" name="Date Of Joining" dataDxfId="1">
      <calculatedColumnFormula>VLOOKUP(A2,'Data Cleaning'!$A$2:$P$142,11,FALSE)</calculatedColumnFormula>
    </tableColumn>
    <tableColumn id="7" xr3:uid="{10629C12-16CA-4AC2-86DA-FF5ACCEC8173}" name="Performance Rating" dataDxfId="0">
      <calculatedColumnFormula>VLOOKUP(A2,'Data Cleaning'!$A$2:$P$142,13,FALSE)</calculatedColumnFormula>
    </tableColumn>
    <tableColumn id="8" xr3:uid="{A289A859-D103-4E70-A095-B5C9364EF747}" name="Gender">
      <calculatedColumnFormula>VLOOKUP(A2,'Data Cleaning'!$A$2:$P$142,15,FALSE)</calculatedColumnFormula>
    </tableColumn>
    <tableColumn id="9" xr3:uid="{07970B0B-053F-4CD0-B47D-B1C1E8F69DB9}" name="Email">
      <calculatedColumnFormula>VLOOKUP(A2,'Data Cleaning'!$A$2:$P$142,16,FALSE)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I11" sqref="I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EDD3-23C2-49F6-9499-9EAA79E3E92E}">
  <dimension ref="A1:P142"/>
  <sheetViews>
    <sheetView topLeftCell="E1" zoomScaleNormal="100" workbookViewId="0">
      <selection activeCell="L2" sqref="L2"/>
    </sheetView>
  </sheetViews>
  <sheetFormatPr defaultRowHeight="14.4" x14ac:dyDescent="0.3"/>
  <cols>
    <col min="1" max="1" width="16" bestFit="1" customWidth="1"/>
    <col min="2" max="2" width="12.88671875" customWidth="1"/>
    <col min="3" max="3" width="14.6640625" customWidth="1"/>
    <col min="4" max="4" width="16.109375" customWidth="1"/>
    <col min="5" max="5" width="16.5546875" bestFit="1" customWidth="1"/>
    <col min="6" max="6" width="12.21875" bestFit="1" customWidth="1"/>
    <col min="7" max="7" width="13.21875" bestFit="1" customWidth="1"/>
    <col min="8" max="9" width="13.44140625" customWidth="1"/>
    <col min="10" max="10" width="19.109375" customWidth="1"/>
    <col min="11" max="11" width="21.5546875" customWidth="1"/>
    <col min="12" max="12" width="22.33203125" bestFit="1" customWidth="1"/>
    <col min="13" max="13" width="23.33203125" bestFit="1" customWidth="1"/>
    <col min="14" max="15" width="13.77734375" customWidth="1"/>
    <col min="16" max="16" width="25.21875" customWidth="1"/>
  </cols>
  <sheetData>
    <row r="1" spans="1:16" x14ac:dyDescent="0.3">
      <c r="A1" s="3" t="s">
        <v>0</v>
      </c>
      <c r="B1" s="3" t="s">
        <v>1</v>
      </c>
      <c r="C1" s="4" t="s">
        <v>285</v>
      </c>
      <c r="D1" s="3" t="s">
        <v>2</v>
      </c>
      <c r="E1" s="4" t="s">
        <v>282</v>
      </c>
      <c r="F1" s="3" t="s">
        <v>3</v>
      </c>
      <c r="G1" s="4" t="s">
        <v>281</v>
      </c>
      <c r="H1" s="3" t="s">
        <v>4</v>
      </c>
      <c r="I1" s="4" t="s">
        <v>283</v>
      </c>
      <c r="J1" s="3" t="s">
        <v>5</v>
      </c>
      <c r="K1" s="4" t="s">
        <v>286</v>
      </c>
      <c r="L1" s="3" t="s">
        <v>6</v>
      </c>
      <c r="M1" s="4" t="s">
        <v>284</v>
      </c>
      <c r="N1" s="3" t="s">
        <v>7</v>
      </c>
      <c r="O1" s="4" t="s">
        <v>287</v>
      </c>
      <c r="P1" s="3" t="s">
        <v>8</v>
      </c>
    </row>
    <row r="2" spans="1:16" x14ac:dyDescent="0.3">
      <c r="A2" t="s">
        <v>10</v>
      </c>
      <c r="B2" t="s">
        <v>159</v>
      </c>
      <c r="C2" t="str">
        <f t="shared" ref="C2:C31" si="0">IF(B2="","Unknown",B2)</f>
        <v>Eve Adams</v>
      </c>
      <c r="D2" t="s">
        <v>167</v>
      </c>
      <c r="E2" t="str">
        <f t="shared" ref="E2:E60" si="1">IF(D2="","Marketing",D2)</f>
        <v>HR</v>
      </c>
      <c r="F2" t="s">
        <v>172</v>
      </c>
      <c r="G2" t="str">
        <f t="shared" ref="G2:G31" si="2">IF(F2="","India",F2)</f>
        <v>Germany</v>
      </c>
      <c r="H2">
        <v>54255</v>
      </c>
      <c r="I2" s="7">
        <f>IF(H2="N/A",AVERAGEIF($E$2:$E$142,E2,$H$2:$H$142),H2)</f>
        <v>54255</v>
      </c>
      <c r="J2" s="2">
        <v>42015</v>
      </c>
      <c r="K2" s="6">
        <f>IF(J2="","N/A",J2)</f>
        <v>42015</v>
      </c>
      <c r="L2">
        <v>1</v>
      </c>
      <c r="M2" s="5">
        <f t="shared" ref="M2:M60" si="3">IF(L2="",2,L2)</f>
        <v>1</v>
      </c>
      <c r="N2" t="s">
        <v>179</v>
      </c>
      <c r="O2" t="str">
        <f t="shared" ref="O2:O31" si="4">IF(N2="","Female",N2)</f>
        <v>Other</v>
      </c>
      <c r="P2" t="s">
        <v>183</v>
      </c>
    </row>
    <row r="3" spans="1:16" x14ac:dyDescent="0.3">
      <c r="A3" t="s">
        <v>11</v>
      </c>
      <c r="B3" t="s">
        <v>160</v>
      </c>
      <c r="C3" t="str">
        <f t="shared" si="0"/>
        <v>Alice Brown</v>
      </c>
      <c r="D3" t="s">
        <v>166</v>
      </c>
      <c r="E3" t="str">
        <f t="shared" si="1"/>
        <v>Finance</v>
      </c>
      <c r="F3" t="s">
        <v>172</v>
      </c>
      <c r="G3" t="str">
        <f t="shared" si="2"/>
        <v>Germany</v>
      </c>
      <c r="H3">
        <v>63184</v>
      </c>
      <c r="I3" s="7">
        <f t="shared" ref="I3:I66" si="5">IF(H3="N/A",AVERAGEIF($E$2:$E$142,E3,$H$2:$H$142),H3)</f>
        <v>63184</v>
      </c>
      <c r="J3" s="2">
        <v>42022</v>
      </c>
      <c r="K3" s="6">
        <f t="shared" ref="K3:K31" si="6">IF(J3="","N/A",J3)</f>
        <v>42022</v>
      </c>
      <c r="L3">
        <v>2</v>
      </c>
      <c r="M3" s="5">
        <f t="shared" si="3"/>
        <v>2</v>
      </c>
      <c r="O3" t="str">
        <f t="shared" si="4"/>
        <v>Female</v>
      </c>
      <c r="P3" t="s">
        <v>184</v>
      </c>
    </row>
    <row r="4" spans="1:16" x14ac:dyDescent="0.3">
      <c r="A4" t="s">
        <v>12</v>
      </c>
      <c r="B4" t="s">
        <v>161</v>
      </c>
      <c r="C4" t="str">
        <f t="shared" si="0"/>
        <v>John Doe</v>
      </c>
      <c r="D4" t="s">
        <v>168</v>
      </c>
      <c r="E4" t="str">
        <f t="shared" si="1"/>
        <v>Sales</v>
      </c>
      <c r="F4" t="s">
        <v>173</v>
      </c>
      <c r="G4" t="str">
        <f t="shared" si="2"/>
        <v>USA</v>
      </c>
      <c r="H4">
        <v>94406</v>
      </c>
      <c r="I4" s="7">
        <f t="shared" si="5"/>
        <v>94406</v>
      </c>
      <c r="J4" s="2">
        <v>42029</v>
      </c>
      <c r="K4" s="6">
        <f t="shared" si="6"/>
        <v>42029</v>
      </c>
      <c r="L4">
        <v>1</v>
      </c>
      <c r="M4" s="5">
        <f t="shared" si="3"/>
        <v>1</v>
      </c>
      <c r="N4" t="s">
        <v>180</v>
      </c>
      <c r="O4" t="str">
        <f t="shared" si="4"/>
        <v>Male</v>
      </c>
      <c r="P4" t="s">
        <v>185</v>
      </c>
    </row>
    <row r="5" spans="1:16" x14ac:dyDescent="0.3">
      <c r="A5" t="s">
        <v>13</v>
      </c>
      <c r="B5" t="s">
        <v>162</v>
      </c>
      <c r="C5" t="str">
        <f t="shared" si="0"/>
        <v>Jane Smith</v>
      </c>
      <c r="D5" t="s">
        <v>168</v>
      </c>
      <c r="E5" t="str">
        <f t="shared" si="1"/>
        <v>Sales</v>
      </c>
      <c r="F5" t="s">
        <v>172</v>
      </c>
      <c r="G5" t="str">
        <f t="shared" si="2"/>
        <v>Germany</v>
      </c>
      <c r="H5">
        <v>64120</v>
      </c>
      <c r="I5" s="7">
        <f t="shared" si="5"/>
        <v>64120</v>
      </c>
      <c r="J5" s="2">
        <v>42036</v>
      </c>
      <c r="K5" s="6">
        <f t="shared" si="6"/>
        <v>42036</v>
      </c>
      <c r="L5">
        <v>1</v>
      </c>
      <c r="M5" s="5">
        <f t="shared" si="3"/>
        <v>1</v>
      </c>
      <c r="N5" t="s">
        <v>180</v>
      </c>
      <c r="O5" t="str">
        <f t="shared" si="4"/>
        <v>Male</v>
      </c>
      <c r="P5" t="s">
        <v>186</v>
      </c>
    </row>
    <row r="6" spans="1:16" x14ac:dyDescent="0.3">
      <c r="A6" t="s">
        <v>14</v>
      </c>
      <c r="B6" t="s">
        <v>160</v>
      </c>
      <c r="C6" t="str">
        <f t="shared" si="0"/>
        <v>Alice Brown</v>
      </c>
      <c r="D6" t="s">
        <v>169</v>
      </c>
      <c r="E6" t="str">
        <f t="shared" si="1"/>
        <v>IT</v>
      </c>
      <c r="F6" t="s">
        <v>174</v>
      </c>
      <c r="G6" t="str">
        <f t="shared" si="2"/>
        <v>India</v>
      </c>
      <c r="H6">
        <v>78421</v>
      </c>
      <c r="I6" s="7">
        <f t="shared" si="5"/>
        <v>78421</v>
      </c>
      <c r="J6" s="2">
        <v>42043</v>
      </c>
      <c r="K6" s="6">
        <f t="shared" si="6"/>
        <v>42043</v>
      </c>
      <c r="L6">
        <v>2</v>
      </c>
      <c r="M6" s="5">
        <f t="shared" si="3"/>
        <v>2</v>
      </c>
      <c r="N6" t="s">
        <v>181</v>
      </c>
      <c r="O6" t="str">
        <f t="shared" si="4"/>
        <v>Female</v>
      </c>
      <c r="P6" t="s">
        <v>187</v>
      </c>
    </row>
    <row r="7" spans="1:16" x14ac:dyDescent="0.3">
      <c r="A7" t="s">
        <v>15</v>
      </c>
      <c r="B7" t="s">
        <v>163</v>
      </c>
      <c r="C7" t="str">
        <f t="shared" si="0"/>
        <v>Sam Wilson</v>
      </c>
      <c r="D7" t="s">
        <v>168</v>
      </c>
      <c r="E7" t="str">
        <f t="shared" si="1"/>
        <v>Sales</v>
      </c>
      <c r="G7" t="str">
        <f t="shared" si="2"/>
        <v>India</v>
      </c>
      <c r="H7">
        <v>67721</v>
      </c>
      <c r="I7" s="7">
        <f t="shared" si="5"/>
        <v>67721</v>
      </c>
      <c r="J7" s="2">
        <v>42050</v>
      </c>
      <c r="K7" s="6">
        <f t="shared" si="6"/>
        <v>42050</v>
      </c>
      <c r="M7" s="5">
        <f t="shared" si="3"/>
        <v>2</v>
      </c>
      <c r="N7" t="s">
        <v>180</v>
      </c>
      <c r="O7" t="str">
        <f t="shared" si="4"/>
        <v>Male</v>
      </c>
      <c r="P7" t="s">
        <v>185</v>
      </c>
    </row>
    <row r="8" spans="1:16" x14ac:dyDescent="0.3">
      <c r="A8" t="s">
        <v>16</v>
      </c>
      <c r="B8" t="s">
        <v>164</v>
      </c>
      <c r="C8" t="str">
        <f t="shared" si="0"/>
        <v>Chris Lee</v>
      </c>
      <c r="D8" t="s">
        <v>170</v>
      </c>
      <c r="E8" t="str">
        <f t="shared" si="1"/>
        <v>Marketing</v>
      </c>
      <c r="G8" t="str">
        <f t="shared" si="2"/>
        <v>India</v>
      </c>
      <c r="H8">
        <v>35364</v>
      </c>
      <c r="I8" s="7">
        <f t="shared" si="5"/>
        <v>35364</v>
      </c>
      <c r="J8" s="2">
        <v>42057</v>
      </c>
      <c r="K8" s="6">
        <f t="shared" si="6"/>
        <v>42057</v>
      </c>
      <c r="L8">
        <v>2</v>
      </c>
      <c r="M8" s="5">
        <f t="shared" si="3"/>
        <v>2</v>
      </c>
      <c r="N8" t="s">
        <v>179</v>
      </c>
      <c r="O8" t="str">
        <f t="shared" si="4"/>
        <v>Other</v>
      </c>
      <c r="P8" t="s">
        <v>188</v>
      </c>
    </row>
    <row r="9" spans="1:16" x14ac:dyDescent="0.3">
      <c r="A9" t="s">
        <v>17</v>
      </c>
      <c r="B9" t="s">
        <v>160</v>
      </c>
      <c r="C9" t="str">
        <f t="shared" si="0"/>
        <v>Alice Brown</v>
      </c>
      <c r="D9" t="s">
        <v>169</v>
      </c>
      <c r="E9" t="str">
        <f t="shared" si="1"/>
        <v>IT</v>
      </c>
      <c r="F9" t="s">
        <v>172</v>
      </c>
      <c r="G9" t="str">
        <f t="shared" si="2"/>
        <v>Germany</v>
      </c>
      <c r="H9">
        <v>97881</v>
      </c>
      <c r="I9" s="7">
        <f t="shared" si="5"/>
        <v>97881</v>
      </c>
      <c r="J9" s="2">
        <v>42064</v>
      </c>
      <c r="K9" s="6">
        <f t="shared" si="6"/>
        <v>42064</v>
      </c>
      <c r="M9" s="5">
        <f t="shared" si="3"/>
        <v>2</v>
      </c>
      <c r="N9" t="s">
        <v>181</v>
      </c>
      <c r="O9" t="str">
        <f t="shared" si="4"/>
        <v>Female</v>
      </c>
      <c r="P9" t="s">
        <v>189</v>
      </c>
    </row>
    <row r="10" spans="1:16" x14ac:dyDescent="0.3">
      <c r="A10" t="s">
        <v>18</v>
      </c>
      <c r="B10" t="s">
        <v>164</v>
      </c>
      <c r="C10" t="str">
        <f t="shared" si="0"/>
        <v>Chris Lee</v>
      </c>
      <c r="D10" t="s">
        <v>167</v>
      </c>
      <c r="E10" t="str">
        <f t="shared" si="1"/>
        <v>HR</v>
      </c>
      <c r="F10" t="s">
        <v>175</v>
      </c>
      <c r="G10" t="str">
        <f t="shared" si="2"/>
        <v>UK</v>
      </c>
      <c r="H10">
        <v>91846</v>
      </c>
      <c r="I10" s="7">
        <f t="shared" si="5"/>
        <v>91846</v>
      </c>
      <c r="J10" s="2">
        <v>42071</v>
      </c>
      <c r="K10" s="6">
        <f t="shared" si="6"/>
        <v>42071</v>
      </c>
      <c r="M10" s="5">
        <f t="shared" si="3"/>
        <v>2</v>
      </c>
      <c r="N10" t="s">
        <v>180</v>
      </c>
      <c r="O10" t="str">
        <f t="shared" si="4"/>
        <v>Male</v>
      </c>
      <c r="P10" t="s">
        <v>190</v>
      </c>
    </row>
    <row r="11" spans="1:16" x14ac:dyDescent="0.3">
      <c r="A11" t="s">
        <v>19</v>
      </c>
      <c r="B11" t="s">
        <v>163</v>
      </c>
      <c r="C11" t="str">
        <f t="shared" si="0"/>
        <v>Sam Wilson</v>
      </c>
      <c r="D11" t="s">
        <v>166</v>
      </c>
      <c r="E11" t="str">
        <f t="shared" si="1"/>
        <v>Finance</v>
      </c>
      <c r="F11" t="s">
        <v>175</v>
      </c>
      <c r="G11" t="str">
        <f t="shared" si="2"/>
        <v>UK</v>
      </c>
      <c r="H11">
        <v>64247</v>
      </c>
      <c r="I11" s="7">
        <f t="shared" si="5"/>
        <v>64247</v>
      </c>
      <c r="J11" s="2">
        <v>42078</v>
      </c>
      <c r="K11" s="6">
        <f t="shared" si="6"/>
        <v>42078</v>
      </c>
      <c r="L11">
        <v>1</v>
      </c>
      <c r="M11" s="5">
        <f t="shared" si="3"/>
        <v>1</v>
      </c>
      <c r="N11" t="s">
        <v>181</v>
      </c>
      <c r="O11" t="str">
        <f t="shared" si="4"/>
        <v>Female</v>
      </c>
      <c r="P11" t="s">
        <v>191</v>
      </c>
    </row>
    <row r="12" spans="1:16" x14ac:dyDescent="0.3">
      <c r="A12" t="s">
        <v>20</v>
      </c>
      <c r="B12" t="s">
        <v>163</v>
      </c>
      <c r="C12" t="str">
        <f t="shared" si="0"/>
        <v>Sam Wilson</v>
      </c>
      <c r="D12" t="s">
        <v>169</v>
      </c>
      <c r="E12" t="str">
        <f t="shared" si="1"/>
        <v>IT</v>
      </c>
      <c r="F12" t="s">
        <v>173</v>
      </c>
      <c r="G12" t="str">
        <f t="shared" si="2"/>
        <v>USA</v>
      </c>
      <c r="H12">
        <v>91180</v>
      </c>
      <c r="I12" s="7">
        <f t="shared" si="5"/>
        <v>91180</v>
      </c>
      <c r="J12" s="2">
        <v>42085</v>
      </c>
      <c r="K12" s="6">
        <f t="shared" si="6"/>
        <v>42085</v>
      </c>
      <c r="L12">
        <v>5</v>
      </c>
      <c r="M12" s="5">
        <f t="shared" si="3"/>
        <v>5</v>
      </c>
      <c r="N12" t="s">
        <v>180</v>
      </c>
      <c r="O12" t="str">
        <f t="shared" si="4"/>
        <v>Male</v>
      </c>
      <c r="P12" t="s">
        <v>192</v>
      </c>
    </row>
    <row r="13" spans="1:16" x14ac:dyDescent="0.3">
      <c r="A13" t="s">
        <v>21</v>
      </c>
      <c r="B13" t="s">
        <v>165</v>
      </c>
      <c r="C13" t="str">
        <f t="shared" si="0"/>
        <v>Bob Johnson</v>
      </c>
      <c r="D13" t="s">
        <v>168</v>
      </c>
      <c r="E13" t="str">
        <f t="shared" si="1"/>
        <v>Sales</v>
      </c>
      <c r="G13" t="str">
        <f t="shared" si="2"/>
        <v>India</v>
      </c>
      <c r="H13">
        <v>96418</v>
      </c>
      <c r="I13" s="7">
        <f t="shared" si="5"/>
        <v>96418</v>
      </c>
      <c r="J13" s="2">
        <v>42092</v>
      </c>
      <c r="K13" s="6">
        <f t="shared" si="6"/>
        <v>42092</v>
      </c>
      <c r="L13">
        <v>5</v>
      </c>
      <c r="M13" s="5">
        <f t="shared" si="3"/>
        <v>5</v>
      </c>
      <c r="N13" t="s">
        <v>180</v>
      </c>
      <c r="O13" t="str">
        <f t="shared" si="4"/>
        <v>Male</v>
      </c>
      <c r="P13" t="s">
        <v>183</v>
      </c>
    </row>
    <row r="14" spans="1:16" x14ac:dyDescent="0.3">
      <c r="A14" t="s">
        <v>22</v>
      </c>
      <c r="B14" t="s">
        <v>163</v>
      </c>
      <c r="C14" t="str">
        <f t="shared" si="0"/>
        <v>Sam Wilson</v>
      </c>
      <c r="E14" t="str">
        <f t="shared" si="1"/>
        <v>Marketing</v>
      </c>
      <c r="F14" t="s">
        <v>174</v>
      </c>
      <c r="G14" t="str">
        <f t="shared" si="2"/>
        <v>India</v>
      </c>
      <c r="H14">
        <v>62158</v>
      </c>
      <c r="I14" s="7">
        <f t="shared" si="5"/>
        <v>62158</v>
      </c>
      <c r="J14" s="2">
        <v>42099</v>
      </c>
      <c r="K14" s="6">
        <f t="shared" si="6"/>
        <v>42099</v>
      </c>
      <c r="L14">
        <v>4</v>
      </c>
      <c r="M14" s="5">
        <f t="shared" si="3"/>
        <v>4</v>
      </c>
      <c r="O14" t="str">
        <f t="shared" si="4"/>
        <v>Female</v>
      </c>
      <c r="P14" t="s">
        <v>193</v>
      </c>
    </row>
    <row r="15" spans="1:16" x14ac:dyDescent="0.3">
      <c r="A15" t="s">
        <v>23</v>
      </c>
      <c r="B15" t="s">
        <v>162</v>
      </c>
      <c r="C15" t="str">
        <f t="shared" si="0"/>
        <v>Jane Smith</v>
      </c>
      <c r="D15" t="s">
        <v>167</v>
      </c>
      <c r="E15" t="str">
        <f t="shared" si="1"/>
        <v>HR</v>
      </c>
      <c r="G15" t="str">
        <f t="shared" si="2"/>
        <v>India</v>
      </c>
      <c r="H15">
        <v>59894</v>
      </c>
      <c r="I15" s="7">
        <f t="shared" si="5"/>
        <v>59894</v>
      </c>
      <c r="J15" s="2">
        <v>42106</v>
      </c>
      <c r="K15" s="6">
        <f t="shared" si="6"/>
        <v>42106</v>
      </c>
      <c r="L15">
        <v>2</v>
      </c>
      <c r="M15" s="5">
        <f t="shared" si="3"/>
        <v>2</v>
      </c>
      <c r="N15" t="s">
        <v>180</v>
      </c>
      <c r="O15" t="str">
        <f t="shared" si="4"/>
        <v>Male</v>
      </c>
      <c r="P15" t="s">
        <v>194</v>
      </c>
    </row>
    <row r="16" spans="1:16" x14ac:dyDescent="0.3">
      <c r="A16" t="s">
        <v>24</v>
      </c>
      <c r="C16" t="str">
        <f t="shared" si="0"/>
        <v>Unknown</v>
      </c>
      <c r="D16" t="s">
        <v>169</v>
      </c>
      <c r="E16" t="str">
        <f t="shared" si="1"/>
        <v>IT</v>
      </c>
      <c r="F16" t="s">
        <v>174</v>
      </c>
      <c r="G16" t="str">
        <f t="shared" si="2"/>
        <v>India</v>
      </c>
      <c r="H16">
        <v>92443</v>
      </c>
      <c r="I16" s="7">
        <f t="shared" si="5"/>
        <v>92443</v>
      </c>
      <c r="J16" s="2">
        <v>42113</v>
      </c>
      <c r="K16" s="6">
        <f t="shared" si="6"/>
        <v>42113</v>
      </c>
      <c r="L16">
        <v>3</v>
      </c>
      <c r="M16" s="5">
        <f t="shared" si="3"/>
        <v>3</v>
      </c>
      <c r="N16" t="s">
        <v>179</v>
      </c>
      <c r="O16" t="str">
        <f t="shared" si="4"/>
        <v>Other</v>
      </c>
      <c r="P16" t="s">
        <v>195</v>
      </c>
    </row>
    <row r="17" spans="1:16" x14ac:dyDescent="0.3">
      <c r="A17" t="s">
        <v>25</v>
      </c>
      <c r="B17" t="s">
        <v>165</v>
      </c>
      <c r="C17" t="str">
        <f t="shared" si="0"/>
        <v>Bob Johnson</v>
      </c>
      <c r="E17" t="str">
        <f t="shared" si="1"/>
        <v>Marketing</v>
      </c>
      <c r="F17" t="s">
        <v>172</v>
      </c>
      <c r="G17" t="str">
        <f t="shared" si="2"/>
        <v>Germany</v>
      </c>
      <c r="H17">
        <v>90271</v>
      </c>
      <c r="I17" s="7">
        <f t="shared" si="5"/>
        <v>90271</v>
      </c>
      <c r="J17" s="2">
        <v>42120</v>
      </c>
      <c r="K17" s="6">
        <f t="shared" si="6"/>
        <v>42120</v>
      </c>
      <c r="M17" s="5">
        <f t="shared" si="3"/>
        <v>2</v>
      </c>
      <c r="O17" t="str">
        <f t="shared" si="4"/>
        <v>Female</v>
      </c>
      <c r="P17" t="s">
        <v>196</v>
      </c>
    </row>
    <row r="18" spans="1:16" x14ac:dyDescent="0.3">
      <c r="A18" t="s">
        <v>26</v>
      </c>
      <c r="B18" t="s">
        <v>162</v>
      </c>
      <c r="C18" t="str">
        <f t="shared" si="0"/>
        <v>Jane Smith</v>
      </c>
      <c r="D18" t="s">
        <v>166</v>
      </c>
      <c r="E18" t="str">
        <f t="shared" si="1"/>
        <v>Finance</v>
      </c>
      <c r="F18" t="s">
        <v>176</v>
      </c>
      <c r="G18" t="str">
        <f t="shared" si="2"/>
        <v>Australia</v>
      </c>
      <c r="H18">
        <v>41341</v>
      </c>
      <c r="I18" s="7">
        <f t="shared" si="5"/>
        <v>41341</v>
      </c>
      <c r="J18" s="2">
        <v>42127</v>
      </c>
      <c r="K18" s="6">
        <f t="shared" si="6"/>
        <v>42127</v>
      </c>
      <c r="L18">
        <v>1</v>
      </c>
      <c r="M18" s="5">
        <f t="shared" si="3"/>
        <v>1</v>
      </c>
      <c r="N18" t="s">
        <v>179</v>
      </c>
      <c r="O18" t="str">
        <f t="shared" si="4"/>
        <v>Other</v>
      </c>
      <c r="P18" t="s">
        <v>197</v>
      </c>
    </row>
    <row r="19" spans="1:16" x14ac:dyDescent="0.3">
      <c r="A19" t="s">
        <v>27</v>
      </c>
      <c r="B19" t="s">
        <v>160</v>
      </c>
      <c r="C19" t="str">
        <f t="shared" si="0"/>
        <v>Alice Brown</v>
      </c>
      <c r="D19" t="s">
        <v>166</v>
      </c>
      <c r="E19" t="str">
        <f t="shared" si="1"/>
        <v>Finance</v>
      </c>
      <c r="F19" t="s">
        <v>175</v>
      </c>
      <c r="G19" t="str">
        <f t="shared" si="2"/>
        <v>UK</v>
      </c>
      <c r="H19">
        <v>73602</v>
      </c>
      <c r="I19" s="7">
        <f t="shared" si="5"/>
        <v>73602</v>
      </c>
      <c r="J19" s="2">
        <v>42134</v>
      </c>
      <c r="K19" s="6">
        <f t="shared" si="6"/>
        <v>42134</v>
      </c>
      <c r="M19" s="5">
        <f t="shared" si="3"/>
        <v>2</v>
      </c>
      <c r="O19" t="str">
        <f t="shared" si="4"/>
        <v>Female</v>
      </c>
      <c r="P19" t="s">
        <v>198</v>
      </c>
    </row>
    <row r="20" spans="1:16" x14ac:dyDescent="0.3">
      <c r="A20" t="s">
        <v>28</v>
      </c>
      <c r="B20" t="s">
        <v>159</v>
      </c>
      <c r="C20" t="str">
        <f t="shared" si="0"/>
        <v>Eve Adams</v>
      </c>
      <c r="E20" t="str">
        <f t="shared" si="1"/>
        <v>Marketing</v>
      </c>
      <c r="F20" t="s">
        <v>174</v>
      </c>
      <c r="G20" t="str">
        <f t="shared" si="2"/>
        <v>India</v>
      </c>
      <c r="H20">
        <v>67531</v>
      </c>
      <c r="I20" s="7">
        <f t="shared" si="5"/>
        <v>67531</v>
      </c>
      <c r="J20" s="2">
        <v>42141</v>
      </c>
      <c r="K20" s="6">
        <f t="shared" si="6"/>
        <v>42141</v>
      </c>
      <c r="L20">
        <v>5</v>
      </c>
      <c r="M20" s="5">
        <f t="shared" si="3"/>
        <v>5</v>
      </c>
      <c r="N20" t="s">
        <v>181</v>
      </c>
      <c r="O20" t="str">
        <f t="shared" si="4"/>
        <v>Female</v>
      </c>
      <c r="P20" t="s">
        <v>199</v>
      </c>
    </row>
    <row r="21" spans="1:16" x14ac:dyDescent="0.3">
      <c r="A21" t="s">
        <v>29</v>
      </c>
      <c r="B21" t="s">
        <v>162</v>
      </c>
      <c r="C21" t="str">
        <f t="shared" si="0"/>
        <v>Jane Smith</v>
      </c>
      <c r="D21" t="s">
        <v>167</v>
      </c>
      <c r="E21" t="str">
        <f t="shared" si="1"/>
        <v>HR</v>
      </c>
      <c r="F21" t="s">
        <v>173</v>
      </c>
      <c r="G21" t="str">
        <f t="shared" si="2"/>
        <v>USA</v>
      </c>
      <c r="H21" t="s">
        <v>177</v>
      </c>
      <c r="I21" s="7">
        <f t="shared" si="5"/>
        <v>67834.565217391311</v>
      </c>
      <c r="J21" s="2">
        <v>42148</v>
      </c>
      <c r="K21" s="6">
        <f t="shared" si="6"/>
        <v>42148</v>
      </c>
      <c r="L21">
        <v>2</v>
      </c>
      <c r="M21" s="5">
        <f t="shared" si="3"/>
        <v>2</v>
      </c>
      <c r="N21" t="s">
        <v>179</v>
      </c>
      <c r="O21" t="str">
        <f t="shared" si="4"/>
        <v>Other</v>
      </c>
      <c r="P21" t="s">
        <v>200</v>
      </c>
    </row>
    <row r="22" spans="1:16" x14ac:dyDescent="0.3">
      <c r="A22" t="s">
        <v>30</v>
      </c>
      <c r="B22" t="s">
        <v>162</v>
      </c>
      <c r="C22" t="str">
        <f t="shared" si="0"/>
        <v>Jane Smith</v>
      </c>
      <c r="D22" t="s">
        <v>167</v>
      </c>
      <c r="E22" t="str">
        <f t="shared" si="1"/>
        <v>HR</v>
      </c>
      <c r="G22" t="str">
        <f t="shared" si="2"/>
        <v>India</v>
      </c>
      <c r="H22">
        <v>98922</v>
      </c>
      <c r="I22" s="7">
        <f t="shared" si="5"/>
        <v>98922</v>
      </c>
      <c r="J22" s="2">
        <v>42155</v>
      </c>
      <c r="K22" s="6">
        <f t="shared" si="6"/>
        <v>42155</v>
      </c>
      <c r="L22">
        <v>4</v>
      </c>
      <c r="M22" s="5">
        <f t="shared" si="3"/>
        <v>4</v>
      </c>
      <c r="O22" t="str">
        <f t="shared" si="4"/>
        <v>Female</v>
      </c>
      <c r="P22" t="s">
        <v>201</v>
      </c>
    </row>
    <row r="23" spans="1:16" x14ac:dyDescent="0.3">
      <c r="A23" t="s">
        <v>31</v>
      </c>
      <c r="B23" t="s">
        <v>159</v>
      </c>
      <c r="C23" t="str">
        <f t="shared" si="0"/>
        <v>Eve Adams</v>
      </c>
      <c r="D23" t="s">
        <v>166</v>
      </c>
      <c r="E23" t="str">
        <f t="shared" si="1"/>
        <v>Finance</v>
      </c>
      <c r="F23" t="s">
        <v>174</v>
      </c>
      <c r="G23" t="str">
        <f t="shared" si="2"/>
        <v>India</v>
      </c>
      <c r="H23">
        <v>38333</v>
      </c>
      <c r="I23" s="7">
        <f t="shared" si="5"/>
        <v>38333</v>
      </c>
      <c r="J23" s="2">
        <v>42162</v>
      </c>
      <c r="K23" s="6">
        <f t="shared" si="6"/>
        <v>42162</v>
      </c>
      <c r="L23">
        <v>5</v>
      </c>
      <c r="M23" s="5">
        <f t="shared" si="3"/>
        <v>5</v>
      </c>
      <c r="O23" t="str">
        <f t="shared" si="4"/>
        <v>Female</v>
      </c>
      <c r="P23" t="s">
        <v>202</v>
      </c>
    </row>
    <row r="24" spans="1:16" x14ac:dyDescent="0.3">
      <c r="A24" t="s">
        <v>32</v>
      </c>
      <c r="B24" t="s">
        <v>160</v>
      </c>
      <c r="C24" t="str">
        <f t="shared" si="0"/>
        <v>Alice Brown</v>
      </c>
      <c r="D24" t="s">
        <v>170</v>
      </c>
      <c r="E24" t="str">
        <f t="shared" si="1"/>
        <v>Marketing</v>
      </c>
      <c r="F24" t="s">
        <v>175</v>
      </c>
      <c r="G24" t="str">
        <f t="shared" si="2"/>
        <v>UK</v>
      </c>
      <c r="H24">
        <v>36515</v>
      </c>
      <c r="I24" s="7">
        <f t="shared" si="5"/>
        <v>36515</v>
      </c>
      <c r="J24" s="2">
        <v>42169</v>
      </c>
      <c r="K24" s="6">
        <f t="shared" si="6"/>
        <v>42169</v>
      </c>
      <c r="L24">
        <v>3</v>
      </c>
      <c r="M24" s="5">
        <f t="shared" si="3"/>
        <v>3</v>
      </c>
      <c r="N24" t="s">
        <v>180</v>
      </c>
      <c r="O24" t="str">
        <f t="shared" si="4"/>
        <v>Male</v>
      </c>
      <c r="P24" t="s">
        <v>203</v>
      </c>
    </row>
    <row r="25" spans="1:16" x14ac:dyDescent="0.3">
      <c r="A25" t="s">
        <v>33</v>
      </c>
      <c r="B25" t="s">
        <v>163</v>
      </c>
      <c r="C25" t="str">
        <f t="shared" si="0"/>
        <v>Sam Wilson</v>
      </c>
      <c r="D25" t="s">
        <v>166</v>
      </c>
      <c r="E25" t="str">
        <f t="shared" si="1"/>
        <v>Finance</v>
      </c>
      <c r="G25" t="str">
        <f t="shared" si="2"/>
        <v>India</v>
      </c>
      <c r="H25">
        <v>91005</v>
      </c>
      <c r="I25" s="7">
        <f t="shared" si="5"/>
        <v>91005</v>
      </c>
      <c r="J25" s="2">
        <v>42176</v>
      </c>
      <c r="K25" s="6">
        <f t="shared" si="6"/>
        <v>42176</v>
      </c>
      <c r="L25">
        <v>1</v>
      </c>
      <c r="M25" s="5">
        <f t="shared" si="3"/>
        <v>1</v>
      </c>
      <c r="N25" t="s">
        <v>179</v>
      </c>
      <c r="O25" t="str">
        <f t="shared" si="4"/>
        <v>Other</v>
      </c>
      <c r="P25" t="s">
        <v>204</v>
      </c>
    </row>
    <row r="26" spans="1:16" x14ac:dyDescent="0.3">
      <c r="A26" t="s">
        <v>34</v>
      </c>
      <c r="B26" t="s">
        <v>164</v>
      </c>
      <c r="C26" t="str">
        <f t="shared" si="0"/>
        <v>Chris Lee</v>
      </c>
      <c r="E26" t="str">
        <f t="shared" si="1"/>
        <v>Marketing</v>
      </c>
      <c r="G26" t="str">
        <f t="shared" si="2"/>
        <v>India</v>
      </c>
      <c r="H26">
        <v>52272</v>
      </c>
      <c r="I26" s="7">
        <f t="shared" si="5"/>
        <v>52272</v>
      </c>
      <c r="J26" s="2">
        <v>42183</v>
      </c>
      <c r="K26" s="6">
        <f t="shared" si="6"/>
        <v>42183</v>
      </c>
      <c r="L26">
        <v>3</v>
      </c>
      <c r="M26" s="5">
        <f t="shared" si="3"/>
        <v>3</v>
      </c>
      <c r="O26" t="str">
        <f t="shared" si="4"/>
        <v>Female</v>
      </c>
      <c r="P26" t="s">
        <v>205</v>
      </c>
    </row>
    <row r="27" spans="1:16" x14ac:dyDescent="0.3">
      <c r="A27" t="s">
        <v>35</v>
      </c>
      <c r="B27" t="s">
        <v>159</v>
      </c>
      <c r="C27" t="str">
        <f t="shared" si="0"/>
        <v>Eve Adams</v>
      </c>
      <c r="D27" t="s">
        <v>168</v>
      </c>
      <c r="E27" t="str">
        <f t="shared" si="1"/>
        <v>Sales</v>
      </c>
      <c r="F27" t="s">
        <v>172</v>
      </c>
      <c r="G27" t="str">
        <f t="shared" si="2"/>
        <v>Germany</v>
      </c>
      <c r="H27">
        <v>76518</v>
      </c>
      <c r="I27" s="7">
        <f t="shared" si="5"/>
        <v>76518</v>
      </c>
      <c r="J27" s="2">
        <v>42190</v>
      </c>
      <c r="K27" s="6">
        <f t="shared" si="6"/>
        <v>42190</v>
      </c>
      <c r="L27">
        <v>2</v>
      </c>
      <c r="M27" s="5">
        <f t="shared" si="3"/>
        <v>2</v>
      </c>
      <c r="N27" t="s">
        <v>181</v>
      </c>
      <c r="O27" t="str">
        <f t="shared" si="4"/>
        <v>Female</v>
      </c>
      <c r="P27" t="s">
        <v>206</v>
      </c>
    </row>
    <row r="28" spans="1:16" x14ac:dyDescent="0.3">
      <c r="A28" t="s">
        <v>36</v>
      </c>
      <c r="B28" t="s">
        <v>160</v>
      </c>
      <c r="C28" t="str">
        <f t="shared" si="0"/>
        <v>Alice Brown</v>
      </c>
      <c r="D28" t="s">
        <v>169</v>
      </c>
      <c r="E28" t="str">
        <f t="shared" si="1"/>
        <v>IT</v>
      </c>
      <c r="F28" t="s">
        <v>175</v>
      </c>
      <c r="G28" t="str">
        <f t="shared" si="2"/>
        <v>UK</v>
      </c>
      <c r="H28">
        <v>41448</v>
      </c>
      <c r="I28" s="7">
        <f t="shared" si="5"/>
        <v>41448</v>
      </c>
      <c r="J28" s="2">
        <v>42197</v>
      </c>
      <c r="K28" s="6">
        <f t="shared" si="6"/>
        <v>42197</v>
      </c>
      <c r="L28">
        <v>3</v>
      </c>
      <c r="M28" s="5">
        <f t="shared" si="3"/>
        <v>3</v>
      </c>
      <c r="N28" t="s">
        <v>179</v>
      </c>
      <c r="O28" t="str">
        <f t="shared" si="4"/>
        <v>Other</v>
      </c>
      <c r="P28" t="s">
        <v>207</v>
      </c>
    </row>
    <row r="29" spans="1:16" x14ac:dyDescent="0.3">
      <c r="A29" t="s">
        <v>37</v>
      </c>
      <c r="B29" t="s">
        <v>161</v>
      </c>
      <c r="C29" t="str">
        <f t="shared" si="0"/>
        <v>John Doe</v>
      </c>
      <c r="D29" t="s">
        <v>167</v>
      </c>
      <c r="E29" t="str">
        <f t="shared" si="1"/>
        <v>HR</v>
      </c>
      <c r="F29" t="s">
        <v>175</v>
      </c>
      <c r="G29" t="str">
        <f t="shared" si="2"/>
        <v>UK</v>
      </c>
      <c r="H29">
        <v>49282</v>
      </c>
      <c r="I29" s="7">
        <f t="shared" si="5"/>
        <v>49282</v>
      </c>
      <c r="J29" s="2">
        <v>42204</v>
      </c>
      <c r="K29" s="6">
        <f t="shared" si="6"/>
        <v>42204</v>
      </c>
      <c r="L29">
        <v>2</v>
      </c>
      <c r="M29" s="5">
        <f t="shared" si="3"/>
        <v>2</v>
      </c>
      <c r="N29" t="s">
        <v>181</v>
      </c>
      <c r="O29" t="str">
        <f t="shared" si="4"/>
        <v>Female</v>
      </c>
      <c r="P29" t="s">
        <v>208</v>
      </c>
    </row>
    <row r="30" spans="1:16" x14ac:dyDescent="0.3">
      <c r="A30" t="s">
        <v>38</v>
      </c>
      <c r="B30" t="s">
        <v>165</v>
      </c>
      <c r="C30" t="str">
        <f t="shared" si="0"/>
        <v>Bob Johnson</v>
      </c>
      <c r="D30" t="s">
        <v>170</v>
      </c>
      <c r="E30" t="str">
        <f t="shared" si="1"/>
        <v>Marketing</v>
      </c>
      <c r="F30" t="s">
        <v>175</v>
      </c>
      <c r="G30" t="str">
        <f t="shared" si="2"/>
        <v>UK</v>
      </c>
      <c r="H30">
        <v>92959</v>
      </c>
      <c r="I30" s="7">
        <f t="shared" si="5"/>
        <v>92959</v>
      </c>
      <c r="J30" s="2">
        <v>42211</v>
      </c>
      <c r="K30" s="6">
        <f t="shared" si="6"/>
        <v>42211</v>
      </c>
      <c r="L30">
        <v>5</v>
      </c>
      <c r="M30" s="5">
        <f t="shared" si="3"/>
        <v>5</v>
      </c>
      <c r="O30" t="str">
        <f t="shared" si="4"/>
        <v>Female</v>
      </c>
      <c r="P30" t="s">
        <v>209</v>
      </c>
    </row>
    <row r="31" spans="1:16" x14ac:dyDescent="0.3">
      <c r="A31" t="s">
        <v>40</v>
      </c>
      <c r="B31" t="s">
        <v>159</v>
      </c>
      <c r="C31" t="str">
        <f t="shared" si="0"/>
        <v>Eve Adams</v>
      </c>
      <c r="D31" t="s">
        <v>167</v>
      </c>
      <c r="E31" t="str">
        <f t="shared" si="1"/>
        <v>HR</v>
      </c>
      <c r="F31" t="s">
        <v>172</v>
      </c>
      <c r="G31" t="str">
        <f t="shared" si="2"/>
        <v>Germany</v>
      </c>
      <c r="H31">
        <v>92299</v>
      </c>
      <c r="I31" s="7">
        <f t="shared" si="5"/>
        <v>92299</v>
      </c>
      <c r="J31" s="2">
        <v>42225</v>
      </c>
      <c r="K31" s="6">
        <f t="shared" si="6"/>
        <v>42225</v>
      </c>
      <c r="L31">
        <v>3</v>
      </c>
      <c r="M31" s="5">
        <f t="shared" si="3"/>
        <v>3</v>
      </c>
      <c r="N31" t="s">
        <v>180</v>
      </c>
      <c r="O31" t="str">
        <f t="shared" si="4"/>
        <v>Male</v>
      </c>
      <c r="P31" t="s">
        <v>211</v>
      </c>
    </row>
    <row r="32" spans="1:16" x14ac:dyDescent="0.3">
      <c r="A32" t="s">
        <v>41</v>
      </c>
      <c r="B32" t="s">
        <v>163</v>
      </c>
      <c r="C32" t="str">
        <f t="shared" ref="C32:C60" si="7">IF(B32="","Unknown",B32)</f>
        <v>Sam Wilson</v>
      </c>
      <c r="D32" t="s">
        <v>167</v>
      </c>
      <c r="E32" t="str">
        <f t="shared" si="1"/>
        <v>HR</v>
      </c>
      <c r="G32" t="str">
        <f t="shared" ref="G32:G60" si="8">IF(F32="","India",F32)</f>
        <v>India</v>
      </c>
      <c r="H32">
        <v>95586</v>
      </c>
      <c r="I32" s="7">
        <f t="shared" si="5"/>
        <v>95586</v>
      </c>
      <c r="J32" s="2">
        <v>42232</v>
      </c>
      <c r="K32" s="6">
        <f t="shared" ref="K32:K60" si="9">IF(J32="","N/A",J32)</f>
        <v>42232</v>
      </c>
      <c r="L32">
        <v>3</v>
      </c>
      <c r="M32" s="5">
        <f t="shared" si="3"/>
        <v>3</v>
      </c>
      <c r="N32" t="s">
        <v>179</v>
      </c>
      <c r="O32" t="str">
        <f t="shared" ref="O32:O60" si="10">IF(N32="","Female",N32)</f>
        <v>Other</v>
      </c>
      <c r="P32" t="s">
        <v>212</v>
      </c>
    </row>
    <row r="33" spans="1:16" x14ac:dyDescent="0.3">
      <c r="A33" t="s">
        <v>42</v>
      </c>
      <c r="B33" t="s">
        <v>164</v>
      </c>
      <c r="C33" t="str">
        <f t="shared" si="7"/>
        <v>Chris Lee</v>
      </c>
      <c r="E33" t="str">
        <f t="shared" si="1"/>
        <v>Marketing</v>
      </c>
      <c r="F33" t="s">
        <v>173</v>
      </c>
      <c r="G33" t="str">
        <f t="shared" si="8"/>
        <v>USA</v>
      </c>
      <c r="H33">
        <v>95367</v>
      </c>
      <c r="I33" s="7">
        <f t="shared" si="5"/>
        <v>95367</v>
      </c>
      <c r="J33" s="2">
        <v>42239</v>
      </c>
      <c r="K33" s="6">
        <f t="shared" si="9"/>
        <v>42239</v>
      </c>
      <c r="M33" s="5">
        <f t="shared" si="3"/>
        <v>2</v>
      </c>
      <c r="N33" t="s">
        <v>180</v>
      </c>
      <c r="O33" t="str">
        <f t="shared" si="10"/>
        <v>Male</v>
      </c>
      <c r="P33" t="s">
        <v>213</v>
      </c>
    </row>
    <row r="34" spans="1:16" x14ac:dyDescent="0.3">
      <c r="A34" t="s">
        <v>43</v>
      </c>
      <c r="B34" t="s">
        <v>161</v>
      </c>
      <c r="C34" t="str">
        <f t="shared" si="7"/>
        <v>John Doe</v>
      </c>
      <c r="D34" t="s">
        <v>168</v>
      </c>
      <c r="E34" t="str">
        <f t="shared" si="1"/>
        <v>Sales</v>
      </c>
      <c r="F34" t="s">
        <v>176</v>
      </c>
      <c r="G34" t="str">
        <f t="shared" si="8"/>
        <v>Australia</v>
      </c>
      <c r="H34">
        <v>79549</v>
      </c>
      <c r="I34" s="7">
        <f t="shared" si="5"/>
        <v>79549</v>
      </c>
      <c r="J34" s="2">
        <v>42246</v>
      </c>
      <c r="K34" s="6">
        <f t="shared" si="9"/>
        <v>42246</v>
      </c>
      <c r="L34">
        <v>3</v>
      </c>
      <c r="M34" s="5">
        <f t="shared" si="3"/>
        <v>3</v>
      </c>
      <c r="O34" t="str">
        <f t="shared" si="10"/>
        <v>Female</v>
      </c>
      <c r="P34" t="s">
        <v>214</v>
      </c>
    </row>
    <row r="35" spans="1:16" x14ac:dyDescent="0.3">
      <c r="A35" t="s">
        <v>44</v>
      </c>
      <c r="B35" t="s">
        <v>160</v>
      </c>
      <c r="C35" t="str">
        <f t="shared" si="7"/>
        <v>Alice Brown</v>
      </c>
      <c r="E35" t="str">
        <f t="shared" si="1"/>
        <v>Marketing</v>
      </c>
      <c r="F35" t="s">
        <v>175</v>
      </c>
      <c r="G35" t="str">
        <f t="shared" si="8"/>
        <v>UK</v>
      </c>
      <c r="H35">
        <v>54463</v>
      </c>
      <c r="I35" s="7">
        <f t="shared" si="5"/>
        <v>54463</v>
      </c>
      <c r="J35" s="2">
        <v>42253</v>
      </c>
      <c r="K35" s="6">
        <f t="shared" si="9"/>
        <v>42253</v>
      </c>
      <c r="L35">
        <v>4</v>
      </c>
      <c r="M35" s="5">
        <f t="shared" si="3"/>
        <v>4</v>
      </c>
      <c r="N35" t="s">
        <v>180</v>
      </c>
      <c r="O35" t="str">
        <f t="shared" si="10"/>
        <v>Male</v>
      </c>
      <c r="P35" t="s">
        <v>182</v>
      </c>
    </row>
    <row r="36" spans="1:16" x14ac:dyDescent="0.3">
      <c r="A36" t="s">
        <v>45</v>
      </c>
      <c r="B36" t="s">
        <v>160</v>
      </c>
      <c r="C36" t="str">
        <f t="shared" si="7"/>
        <v>Alice Brown</v>
      </c>
      <c r="D36" t="s">
        <v>169</v>
      </c>
      <c r="E36" t="str">
        <f t="shared" si="1"/>
        <v>IT</v>
      </c>
      <c r="F36" t="s">
        <v>173</v>
      </c>
      <c r="G36" t="str">
        <f t="shared" si="8"/>
        <v>USA</v>
      </c>
      <c r="H36">
        <v>89781</v>
      </c>
      <c r="I36" s="7">
        <f t="shared" si="5"/>
        <v>89781</v>
      </c>
      <c r="J36" s="2">
        <v>42260</v>
      </c>
      <c r="K36" s="6">
        <f t="shared" si="9"/>
        <v>42260</v>
      </c>
      <c r="M36" s="5">
        <f t="shared" si="3"/>
        <v>2</v>
      </c>
      <c r="N36" t="s">
        <v>181</v>
      </c>
      <c r="O36" t="str">
        <f t="shared" si="10"/>
        <v>Female</v>
      </c>
      <c r="P36" t="s">
        <v>215</v>
      </c>
    </row>
    <row r="37" spans="1:16" x14ac:dyDescent="0.3">
      <c r="A37" t="s">
        <v>46</v>
      </c>
      <c r="B37" t="s">
        <v>160</v>
      </c>
      <c r="C37" t="str">
        <f t="shared" si="7"/>
        <v>Alice Brown</v>
      </c>
      <c r="D37" t="s">
        <v>167</v>
      </c>
      <c r="E37" t="str">
        <f t="shared" si="1"/>
        <v>HR</v>
      </c>
      <c r="G37" t="str">
        <f t="shared" si="8"/>
        <v>India</v>
      </c>
      <c r="H37">
        <v>64796</v>
      </c>
      <c r="I37" s="7">
        <f t="shared" si="5"/>
        <v>64796</v>
      </c>
      <c r="J37" s="2">
        <v>42267</v>
      </c>
      <c r="K37" s="6">
        <f t="shared" si="9"/>
        <v>42267</v>
      </c>
      <c r="M37" s="5">
        <f t="shared" si="3"/>
        <v>2</v>
      </c>
      <c r="N37" t="s">
        <v>179</v>
      </c>
      <c r="O37" t="str">
        <f t="shared" si="10"/>
        <v>Other</v>
      </c>
      <c r="P37" t="s">
        <v>216</v>
      </c>
    </row>
    <row r="38" spans="1:16" x14ac:dyDescent="0.3">
      <c r="A38" t="s">
        <v>47</v>
      </c>
      <c r="B38" t="s">
        <v>161</v>
      </c>
      <c r="C38" t="str">
        <f t="shared" si="7"/>
        <v>John Doe</v>
      </c>
      <c r="D38" t="s">
        <v>170</v>
      </c>
      <c r="E38" t="str">
        <f t="shared" si="1"/>
        <v>Marketing</v>
      </c>
      <c r="F38" t="s">
        <v>175</v>
      </c>
      <c r="G38" t="str">
        <f t="shared" si="8"/>
        <v>UK</v>
      </c>
      <c r="H38">
        <v>52093</v>
      </c>
      <c r="I38" s="7">
        <f t="shared" si="5"/>
        <v>52093</v>
      </c>
      <c r="J38" s="2">
        <v>42274</v>
      </c>
      <c r="K38" s="6">
        <f t="shared" si="9"/>
        <v>42274</v>
      </c>
      <c r="L38">
        <v>5</v>
      </c>
      <c r="M38" s="5">
        <f t="shared" si="3"/>
        <v>5</v>
      </c>
      <c r="O38" t="str">
        <f t="shared" si="10"/>
        <v>Female</v>
      </c>
      <c r="P38" t="s">
        <v>217</v>
      </c>
    </row>
    <row r="39" spans="1:16" x14ac:dyDescent="0.3">
      <c r="A39" t="s">
        <v>48</v>
      </c>
      <c r="B39" t="s">
        <v>164</v>
      </c>
      <c r="C39" t="str">
        <f t="shared" si="7"/>
        <v>Chris Lee</v>
      </c>
      <c r="D39" t="s">
        <v>167</v>
      </c>
      <c r="E39" t="str">
        <f t="shared" si="1"/>
        <v>HR</v>
      </c>
      <c r="F39" t="s">
        <v>175</v>
      </c>
      <c r="G39" t="str">
        <f t="shared" si="8"/>
        <v>UK</v>
      </c>
      <c r="H39">
        <v>48224</v>
      </c>
      <c r="I39" s="7">
        <f t="shared" si="5"/>
        <v>48224</v>
      </c>
      <c r="J39" s="2">
        <v>42281</v>
      </c>
      <c r="K39" s="6">
        <f t="shared" si="9"/>
        <v>42281</v>
      </c>
      <c r="L39">
        <v>3</v>
      </c>
      <c r="M39" s="5">
        <f t="shared" si="3"/>
        <v>3</v>
      </c>
      <c r="O39" t="str">
        <f t="shared" si="10"/>
        <v>Female</v>
      </c>
      <c r="P39" t="s">
        <v>218</v>
      </c>
    </row>
    <row r="40" spans="1:16" x14ac:dyDescent="0.3">
      <c r="A40" t="s">
        <v>50</v>
      </c>
      <c r="B40" t="s">
        <v>160</v>
      </c>
      <c r="C40" t="str">
        <f t="shared" si="7"/>
        <v>Alice Brown</v>
      </c>
      <c r="D40" t="s">
        <v>169</v>
      </c>
      <c r="E40" t="str">
        <f t="shared" si="1"/>
        <v>IT</v>
      </c>
      <c r="F40" t="s">
        <v>172</v>
      </c>
      <c r="G40" t="str">
        <f t="shared" si="8"/>
        <v>Germany</v>
      </c>
      <c r="H40">
        <v>33956</v>
      </c>
      <c r="I40" s="7">
        <f t="shared" si="5"/>
        <v>33956</v>
      </c>
      <c r="J40" s="2">
        <v>42295</v>
      </c>
      <c r="K40" s="6">
        <f t="shared" si="9"/>
        <v>42295</v>
      </c>
      <c r="M40" s="5">
        <f t="shared" si="3"/>
        <v>2</v>
      </c>
      <c r="O40" t="str">
        <f t="shared" si="10"/>
        <v>Female</v>
      </c>
      <c r="P40" t="s">
        <v>220</v>
      </c>
    </row>
    <row r="41" spans="1:16" x14ac:dyDescent="0.3">
      <c r="A41" t="s">
        <v>51</v>
      </c>
      <c r="B41" t="s">
        <v>165</v>
      </c>
      <c r="C41" t="str">
        <f t="shared" si="7"/>
        <v>Bob Johnson</v>
      </c>
      <c r="E41" t="str">
        <f t="shared" si="1"/>
        <v>Marketing</v>
      </c>
      <c r="F41" t="s">
        <v>176</v>
      </c>
      <c r="G41" t="str">
        <f t="shared" si="8"/>
        <v>Australia</v>
      </c>
      <c r="H41">
        <v>64913</v>
      </c>
      <c r="I41" s="7">
        <f t="shared" si="5"/>
        <v>64913</v>
      </c>
      <c r="J41" s="2">
        <v>42302</v>
      </c>
      <c r="K41" s="6">
        <f t="shared" si="9"/>
        <v>42302</v>
      </c>
      <c r="L41">
        <v>1</v>
      </c>
      <c r="M41" s="5">
        <f t="shared" si="3"/>
        <v>1</v>
      </c>
      <c r="N41" t="s">
        <v>181</v>
      </c>
      <c r="O41" t="str">
        <f t="shared" si="10"/>
        <v>Female</v>
      </c>
      <c r="P41" t="s">
        <v>221</v>
      </c>
    </row>
    <row r="42" spans="1:16" x14ac:dyDescent="0.3">
      <c r="A42" t="s">
        <v>52</v>
      </c>
      <c r="B42" t="s">
        <v>160</v>
      </c>
      <c r="C42" t="str">
        <f t="shared" si="7"/>
        <v>Alice Brown</v>
      </c>
      <c r="D42" t="s">
        <v>170</v>
      </c>
      <c r="E42" t="str">
        <f t="shared" si="1"/>
        <v>Marketing</v>
      </c>
      <c r="F42" t="s">
        <v>176</v>
      </c>
      <c r="G42" t="str">
        <f t="shared" si="8"/>
        <v>Australia</v>
      </c>
      <c r="H42">
        <v>35326</v>
      </c>
      <c r="I42" s="7">
        <f t="shared" si="5"/>
        <v>35326</v>
      </c>
      <c r="J42" s="2">
        <v>42309</v>
      </c>
      <c r="K42" s="6">
        <f t="shared" si="9"/>
        <v>42309</v>
      </c>
      <c r="M42" s="5">
        <f t="shared" si="3"/>
        <v>2</v>
      </c>
      <c r="N42" t="s">
        <v>181</v>
      </c>
      <c r="O42" t="str">
        <f t="shared" si="10"/>
        <v>Female</v>
      </c>
      <c r="P42" t="s">
        <v>222</v>
      </c>
    </row>
    <row r="43" spans="1:16" x14ac:dyDescent="0.3">
      <c r="A43" t="s">
        <v>53</v>
      </c>
      <c r="B43" t="s">
        <v>164</v>
      </c>
      <c r="C43" t="str">
        <f t="shared" si="7"/>
        <v>Chris Lee</v>
      </c>
      <c r="D43" t="s">
        <v>166</v>
      </c>
      <c r="E43" t="str">
        <f t="shared" si="1"/>
        <v>Finance</v>
      </c>
      <c r="G43" t="str">
        <f t="shared" si="8"/>
        <v>India</v>
      </c>
      <c r="H43">
        <v>81610</v>
      </c>
      <c r="I43" s="7">
        <f t="shared" si="5"/>
        <v>81610</v>
      </c>
      <c r="J43" s="2">
        <v>42316</v>
      </c>
      <c r="K43" s="6">
        <f t="shared" si="9"/>
        <v>42316</v>
      </c>
      <c r="L43">
        <v>1</v>
      </c>
      <c r="M43" s="5">
        <f t="shared" si="3"/>
        <v>1</v>
      </c>
      <c r="O43" t="str">
        <f t="shared" si="10"/>
        <v>Female</v>
      </c>
      <c r="P43" t="s">
        <v>223</v>
      </c>
    </row>
    <row r="44" spans="1:16" x14ac:dyDescent="0.3">
      <c r="A44" t="s">
        <v>54</v>
      </c>
      <c r="C44" t="str">
        <f t="shared" si="7"/>
        <v>Unknown</v>
      </c>
      <c r="D44" t="s">
        <v>167</v>
      </c>
      <c r="E44" t="str">
        <f t="shared" si="1"/>
        <v>HR</v>
      </c>
      <c r="G44" t="str">
        <f t="shared" si="8"/>
        <v>India</v>
      </c>
      <c r="H44">
        <v>58962</v>
      </c>
      <c r="I44" s="7">
        <f t="shared" si="5"/>
        <v>58962</v>
      </c>
      <c r="J44" s="2">
        <v>42323</v>
      </c>
      <c r="K44" s="6">
        <f t="shared" si="9"/>
        <v>42323</v>
      </c>
      <c r="L44">
        <v>3</v>
      </c>
      <c r="M44" s="5">
        <f t="shared" si="3"/>
        <v>3</v>
      </c>
      <c r="N44" t="s">
        <v>179</v>
      </c>
      <c r="O44" t="str">
        <f t="shared" si="10"/>
        <v>Other</v>
      </c>
      <c r="P44" t="s">
        <v>183</v>
      </c>
    </row>
    <row r="45" spans="1:16" x14ac:dyDescent="0.3">
      <c r="A45" t="s">
        <v>55</v>
      </c>
      <c r="B45" t="s">
        <v>164</v>
      </c>
      <c r="C45" t="str">
        <f t="shared" si="7"/>
        <v>Chris Lee</v>
      </c>
      <c r="D45" t="s">
        <v>169</v>
      </c>
      <c r="E45" t="str">
        <f t="shared" si="1"/>
        <v>IT</v>
      </c>
      <c r="F45" t="s">
        <v>172</v>
      </c>
      <c r="G45" t="str">
        <f t="shared" si="8"/>
        <v>Germany</v>
      </c>
      <c r="H45">
        <v>92701</v>
      </c>
      <c r="I45" s="7">
        <f t="shared" si="5"/>
        <v>92701</v>
      </c>
      <c r="J45" s="2">
        <v>42330</v>
      </c>
      <c r="K45" s="6">
        <f t="shared" si="9"/>
        <v>42330</v>
      </c>
      <c r="L45">
        <v>3</v>
      </c>
      <c r="M45" s="5">
        <f t="shared" si="3"/>
        <v>3</v>
      </c>
      <c r="N45" t="s">
        <v>179</v>
      </c>
      <c r="O45" t="str">
        <f t="shared" si="10"/>
        <v>Other</v>
      </c>
      <c r="P45" t="s">
        <v>224</v>
      </c>
    </row>
    <row r="46" spans="1:16" x14ac:dyDescent="0.3">
      <c r="A46" t="s">
        <v>56</v>
      </c>
      <c r="B46" t="s">
        <v>164</v>
      </c>
      <c r="C46" t="str">
        <f t="shared" si="7"/>
        <v>Chris Lee</v>
      </c>
      <c r="D46" t="s">
        <v>167</v>
      </c>
      <c r="E46" t="str">
        <f t="shared" si="1"/>
        <v>HR</v>
      </c>
      <c r="F46" t="s">
        <v>174</v>
      </c>
      <c r="G46" t="str">
        <f t="shared" si="8"/>
        <v>India</v>
      </c>
      <c r="H46">
        <v>58245</v>
      </c>
      <c r="I46" s="7">
        <f t="shared" si="5"/>
        <v>58245</v>
      </c>
      <c r="J46" s="2">
        <v>42337</v>
      </c>
      <c r="K46" s="6">
        <f t="shared" si="9"/>
        <v>42337</v>
      </c>
      <c r="L46">
        <v>4</v>
      </c>
      <c r="M46" s="5">
        <f t="shared" si="3"/>
        <v>4</v>
      </c>
      <c r="O46" t="str">
        <f t="shared" si="10"/>
        <v>Female</v>
      </c>
      <c r="P46" t="s">
        <v>225</v>
      </c>
    </row>
    <row r="47" spans="1:16" x14ac:dyDescent="0.3">
      <c r="A47" t="s">
        <v>57</v>
      </c>
      <c r="B47" t="s">
        <v>161</v>
      </c>
      <c r="C47" t="str">
        <f t="shared" si="7"/>
        <v>John Doe</v>
      </c>
      <c r="D47" t="s">
        <v>166</v>
      </c>
      <c r="E47" t="str">
        <f t="shared" si="1"/>
        <v>Finance</v>
      </c>
      <c r="G47" t="str">
        <f t="shared" si="8"/>
        <v>India</v>
      </c>
      <c r="H47">
        <v>66513</v>
      </c>
      <c r="I47" s="7">
        <f t="shared" si="5"/>
        <v>66513</v>
      </c>
      <c r="J47" s="2">
        <v>42344</v>
      </c>
      <c r="K47" s="6">
        <f t="shared" si="9"/>
        <v>42344</v>
      </c>
      <c r="L47">
        <v>2</v>
      </c>
      <c r="M47" s="5">
        <f t="shared" si="3"/>
        <v>2</v>
      </c>
      <c r="N47" t="s">
        <v>179</v>
      </c>
      <c r="O47" t="str">
        <f t="shared" si="10"/>
        <v>Other</v>
      </c>
      <c r="P47" t="s">
        <v>187</v>
      </c>
    </row>
    <row r="48" spans="1:16" x14ac:dyDescent="0.3">
      <c r="A48" t="s">
        <v>58</v>
      </c>
      <c r="B48" t="s">
        <v>159</v>
      </c>
      <c r="C48" t="str">
        <f t="shared" si="7"/>
        <v>Eve Adams</v>
      </c>
      <c r="D48" t="s">
        <v>167</v>
      </c>
      <c r="E48" t="str">
        <f t="shared" si="1"/>
        <v>HR</v>
      </c>
      <c r="F48" t="s">
        <v>172</v>
      </c>
      <c r="G48" t="str">
        <f t="shared" si="8"/>
        <v>Germany</v>
      </c>
      <c r="H48">
        <v>78720</v>
      </c>
      <c r="I48" s="7">
        <f t="shared" si="5"/>
        <v>78720</v>
      </c>
      <c r="J48" s="2">
        <v>42351</v>
      </c>
      <c r="K48" s="6">
        <f t="shared" si="9"/>
        <v>42351</v>
      </c>
      <c r="L48">
        <v>5</v>
      </c>
      <c r="M48" s="5">
        <f t="shared" si="3"/>
        <v>5</v>
      </c>
      <c r="N48" t="s">
        <v>181</v>
      </c>
      <c r="O48" t="str">
        <f t="shared" si="10"/>
        <v>Female</v>
      </c>
      <c r="P48" t="s">
        <v>219</v>
      </c>
    </row>
    <row r="49" spans="1:16" x14ac:dyDescent="0.3">
      <c r="A49" t="s">
        <v>60</v>
      </c>
      <c r="B49" t="s">
        <v>163</v>
      </c>
      <c r="C49" t="str">
        <f t="shared" si="7"/>
        <v>Sam Wilson</v>
      </c>
      <c r="D49" t="s">
        <v>168</v>
      </c>
      <c r="E49" t="str">
        <f t="shared" si="1"/>
        <v>Sales</v>
      </c>
      <c r="F49" t="s">
        <v>174</v>
      </c>
      <c r="G49" t="str">
        <f t="shared" si="8"/>
        <v>India</v>
      </c>
      <c r="H49">
        <v>39423</v>
      </c>
      <c r="I49" s="7">
        <f t="shared" si="5"/>
        <v>39423</v>
      </c>
      <c r="J49" s="2">
        <v>42365</v>
      </c>
      <c r="K49" s="6">
        <f t="shared" si="9"/>
        <v>42365</v>
      </c>
      <c r="L49">
        <v>5</v>
      </c>
      <c r="M49" s="5">
        <f t="shared" si="3"/>
        <v>5</v>
      </c>
      <c r="O49" t="str">
        <f t="shared" si="10"/>
        <v>Female</v>
      </c>
      <c r="P49" t="s">
        <v>227</v>
      </c>
    </row>
    <row r="50" spans="1:16" x14ac:dyDescent="0.3">
      <c r="A50" t="s">
        <v>61</v>
      </c>
      <c r="B50" t="s">
        <v>159</v>
      </c>
      <c r="C50" t="str">
        <f t="shared" si="7"/>
        <v>Eve Adams</v>
      </c>
      <c r="D50" t="s">
        <v>170</v>
      </c>
      <c r="E50" t="str">
        <f t="shared" si="1"/>
        <v>Marketing</v>
      </c>
      <c r="G50" t="str">
        <f t="shared" si="8"/>
        <v>India</v>
      </c>
      <c r="H50">
        <v>30280</v>
      </c>
      <c r="I50" s="7">
        <f t="shared" si="5"/>
        <v>30280</v>
      </c>
      <c r="J50" s="2">
        <v>42372</v>
      </c>
      <c r="K50" s="6">
        <f t="shared" si="9"/>
        <v>42372</v>
      </c>
      <c r="L50">
        <v>1</v>
      </c>
      <c r="M50" s="5">
        <f t="shared" si="3"/>
        <v>1</v>
      </c>
      <c r="O50" t="str">
        <f t="shared" si="10"/>
        <v>Female</v>
      </c>
      <c r="P50" t="s">
        <v>228</v>
      </c>
    </row>
    <row r="51" spans="1:16" x14ac:dyDescent="0.3">
      <c r="A51" t="s">
        <v>62</v>
      </c>
      <c r="B51" t="s">
        <v>159</v>
      </c>
      <c r="C51" t="str">
        <f t="shared" si="7"/>
        <v>Eve Adams</v>
      </c>
      <c r="D51" t="s">
        <v>166</v>
      </c>
      <c r="E51" t="str">
        <f t="shared" si="1"/>
        <v>Finance</v>
      </c>
      <c r="F51" t="s">
        <v>175</v>
      </c>
      <c r="G51" t="str">
        <f t="shared" si="8"/>
        <v>UK</v>
      </c>
      <c r="H51">
        <v>33352</v>
      </c>
      <c r="I51" s="7">
        <f t="shared" si="5"/>
        <v>33352</v>
      </c>
      <c r="J51" s="2">
        <v>42379</v>
      </c>
      <c r="K51" s="6">
        <f t="shared" si="9"/>
        <v>42379</v>
      </c>
      <c r="L51">
        <v>3</v>
      </c>
      <c r="M51" s="5">
        <f t="shared" si="3"/>
        <v>3</v>
      </c>
      <c r="N51" t="s">
        <v>181</v>
      </c>
      <c r="O51" t="str">
        <f t="shared" si="10"/>
        <v>Female</v>
      </c>
      <c r="P51" t="s">
        <v>200</v>
      </c>
    </row>
    <row r="52" spans="1:16" x14ac:dyDescent="0.3">
      <c r="A52" t="s">
        <v>63</v>
      </c>
      <c r="B52" t="s">
        <v>165</v>
      </c>
      <c r="C52" t="str">
        <f t="shared" si="7"/>
        <v>Bob Johnson</v>
      </c>
      <c r="D52" t="s">
        <v>170</v>
      </c>
      <c r="E52" t="str">
        <f t="shared" si="1"/>
        <v>Marketing</v>
      </c>
      <c r="F52" t="s">
        <v>175</v>
      </c>
      <c r="G52" t="str">
        <f t="shared" si="8"/>
        <v>UK</v>
      </c>
      <c r="H52">
        <v>75633</v>
      </c>
      <c r="I52" s="7">
        <f t="shared" si="5"/>
        <v>75633</v>
      </c>
      <c r="J52" s="2">
        <v>42386</v>
      </c>
      <c r="K52" s="6">
        <f t="shared" si="9"/>
        <v>42386</v>
      </c>
      <c r="L52">
        <v>5</v>
      </c>
      <c r="M52" s="5">
        <f t="shared" si="3"/>
        <v>5</v>
      </c>
      <c r="N52" t="s">
        <v>179</v>
      </c>
      <c r="O52" t="str">
        <f t="shared" si="10"/>
        <v>Other</v>
      </c>
      <c r="P52" t="s">
        <v>229</v>
      </c>
    </row>
    <row r="53" spans="1:16" x14ac:dyDescent="0.3">
      <c r="A53" t="s">
        <v>64</v>
      </c>
      <c r="B53" t="s">
        <v>164</v>
      </c>
      <c r="C53" t="str">
        <f t="shared" si="7"/>
        <v>Chris Lee</v>
      </c>
      <c r="E53" t="str">
        <f t="shared" si="1"/>
        <v>Marketing</v>
      </c>
      <c r="F53" t="s">
        <v>173</v>
      </c>
      <c r="G53" t="str">
        <f t="shared" si="8"/>
        <v>USA</v>
      </c>
      <c r="H53">
        <v>74815</v>
      </c>
      <c r="I53" s="7">
        <f t="shared" si="5"/>
        <v>74815</v>
      </c>
      <c r="J53" s="2">
        <v>42393</v>
      </c>
      <c r="K53" s="6">
        <f t="shared" si="9"/>
        <v>42393</v>
      </c>
      <c r="L53">
        <v>5</v>
      </c>
      <c r="M53" s="5">
        <f t="shared" si="3"/>
        <v>5</v>
      </c>
      <c r="N53" t="s">
        <v>181</v>
      </c>
      <c r="O53" t="str">
        <f t="shared" si="10"/>
        <v>Female</v>
      </c>
      <c r="P53" t="s">
        <v>230</v>
      </c>
    </row>
    <row r="54" spans="1:16" x14ac:dyDescent="0.3">
      <c r="A54" t="s">
        <v>65</v>
      </c>
      <c r="B54" t="s">
        <v>161</v>
      </c>
      <c r="C54" t="str">
        <f t="shared" si="7"/>
        <v>John Doe</v>
      </c>
      <c r="D54" t="s">
        <v>168</v>
      </c>
      <c r="E54" t="str">
        <f t="shared" si="1"/>
        <v>Sales</v>
      </c>
      <c r="F54" t="s">
        <v>176</v>
      </c>
      <c r="G54" t="str">
        <f t="shared" si="8"/>
        <v>Australia</v>
      </c>
      <c r="H54">
        <v>60011</v>
      </c>
      <c r="I54" s="7">
        <f t="shared" si="5"/>
        <v>60011</v>
      </c>
      <c r="J54" s="2">
        <v>42400</v>
      </c>
      <c r="K54" s="6">
        <f t="shared" si="9"/>
        <v>42400</v>
      </c>
      <c r="L54">
        <v>1</v>
      </c>
      <c r="M54" s="5">
        <f t="shared" si="3"/>
        <v>1</v>
      </c>
      <c r="N54" t="s">
        <v>180</v>
      </c>
      <c r="O54" t="str">
        <f t="shared" si="10"/>
        <v>Male</v>
      </c>
      <c r="P54" t="s">
        <v>231</v>
      </c>
    </row>
    <row r="55" spans="1:16" x14ac:dyDescent="0.3">
      <c r="A55" t="s">
        <v>66</v>
      </c>
      <c r="B55" t="s">
        <v>159</v>
      </c>
      <c r="C55" t="str">
        <f t="shared" si="7"/>
        <v>Eve Adams</v>
      </c>
      <c r="E55" t="str">
        <f t="shared" si="1"/>
        <v>Marketing</v>
      </c>
      <c r="F55" t="s">
        <v>174</v>
      </c>
      <c r="G55" t="str">
        <f t="shared" si="8"/>
        <v>India</v>
      </c>
      <c r="H55">
        <v>96949</v>
      </c>
      <c r="I55" s="7">
        <f t="shared" si="5"/>
        <v>96949</v>
      </c>
      <c r="J55" s="2">
        <v>42407</v>
      </c>
      <c r="K55" s="6">
        <f t="shared" si="9"/>
        <v>42407</v>
      </c>
      <c r="L55">
        <v>3</v>
      </c>
      <c r="M55" s="5">
        <f t="shared" si="3"/>
        <v>3</v>
      </c>
      <c r="O55" t="str">
        <f t="shared" si="10"/>
        <v>Female</v>
      </c>
      <c r="P55" t="s">
        <v>207</v>
      </c>
    </row>
    <row r="56" spans="1:16" x14ac:dyDescent="0.3">
      <c r="A56" t="s">
        <v>67</v>
      </c>
      <c r="B56" t="s">
        <v>163</v>
      </c>
      <c r="C56" t="str">
        <f t="shared" si="7"/>
        <v>Sam Wilson</v>
      </c>
      <c r="D56" t="s">
        <v>170</v>
      </c>
      <c r="E56" t="str">
        <f t="shared" si="1"/>
        <v>Marketing</v>
      </c>
      <c r="G56" t="str">
        <f t="shared" si="8"/>
        <v>India</v>
      </c>
      <c r="H56">
        <v>84924</v>
      </c>
      <c r="I56" s="7">
        <f t="shared" si="5"/>
        <v>84924</v>
      </c>
      <c r="J56" s="2">
        <v>42414</v>
      </c>
      <c r="K56" s="6">
        <f t="shared" si="9"/>
        <v>42414</v>
      </c>
      <c r="L56">
        <v>5</v>
      </c>
      <c r="M56" s="5">
        <f t="shared" si="3"/>
        <v>5</v>
      </c>
      <c r="N56" t="s">
        <v>180</v>
      </c>
      <c r="O56" t="str">
        <f t="shared" si="10"/>
        <v>Male</v>
      </c>
      <c r="P56" t="s">
        <v>232</v>
      </c>
    </row>
    <row r="57" spans="1:16" x14ac:dyDescent="0.3">
      <c r="A57" t="s">
        <v>68</v>
      </c>
      <c r="B57" t="s">
        <v>163</v>
      </c>
      <c r="C57" t="str">
        <f t="shared" si="7"/>
        <v>Sam Wilson</v>
      </c>
      <c r="D57" t="s">
        <v>166</v>
      </c>
      <c r="E57" t="str">
        <f t="shared" si="1"/>
        <v>Finance</v>
      </c>
      <c r="F57" t="s">
        <v>173</v>
      </c>
      <c r="G57" t="str">
        <f t="shared" si="8"/>
        <v>USA</v>
      </c>
      <c r="H57">
        <v>82033</v>
      </c>
      <c r="I57" s="7">
        <f t="shared" si="5"/>
        <v>82033</v>
      </c>
      <c r="J57" s="2">
        <v>42421</v>
      </c>
      <c r="K57" s="6">
        <f t="shared" si="9"/>
        <v>42421</v>
      </c>
      <c r="L57">
        <v>1</v>
      </c>
      <c r="M57" s="5">
        <f t="shared" si="3"/>
        <v>1</v>
      </c>
      <c r="O57" t="str">
        <f t="shared" si="10"/>
        <v>Female</v>
      </c>
      <c r="P57" t="s">
        <v>223</v>
      </c>
    </row>
    <row r="58" spans="1:16" x14ac:dyDescent="0.3">
      <c r="A58" t="s">
        <v>70</v>
      </c>
      <c r="B58" t="s">
        <v>159</v>
      </c>
      <c r="C58" t="str">
        <f t="shared" si="7"/>
        <v>Eve Adams</v>
      </c>
      <c r="E58" t="str">
        <f t="shared" si="1"/>
        <v>Marketing</v>
      </c>
      <c r="F58" t="s">
        <v>176</v>
      </c>
      <c r="G58" t="str">
        <f t="shared" si="8"/>
        <v>Australia</v>
      </c>
      <c r="H58">
        <v>31499</v>
      </c>
      <c r="I58" s="7">
        <f t="shared" si="5"/>
        <v>31499</v>
      </c>
      <c r="J58" s="2">
        <v>42435</v>
      </c>
      <c r="K58" s="6">
        <f t="shared" si="9"/>
        <v>42435</v>
      </c>
      <c r="L58">
        <v>2</v>
      </c>
      <c r="M58" s="5">
        <f t="shared" si="3"/>
        <v>2</v>
      </c>
      <c r="O58" t="str">
        <f t="shared" si="10"/>
        <v>Female</v>
      </c>
      <c r="P58" t="s">
        <v>215</v>
      </c>
    </row>
    <row r="59" spans="1:16" x14ac:dyDescent="0.3">
      <c r="A59" t="s">
        <v>71</v>
      </c>
      <c r="B59" t="s">
        <v>164</v>
      </c>
      <c r="C59" t="str">
        <f t="shared" si="7"/>
        <v>Chris Lee</v>
      </c>
      <c r="D59" t="s">
        <v>169</v>
      </c>
      <c r="E59" t="str">
        <f t="shared" si="1"/>
        <v>IT</v>
      </c>
      <c r="F59" t="s">
        <v>175</v>
      </c>
      <c r="G59" t="str">
        <f t="shared" si="8"/>
        <v>UK</v>
      </c>
      <c r="H59">
        <v>97981</v>
      </c>
      <c r="I59" s="7">
        <f t="shared" si="5"/>
        <v>97981</v>
      </c>
      <c r="J59" s="2">
        <v>42442</v>
      </c>
      <c r="K59" s="6">
        <f t="shared" si="9"/>
        <v>42442</v>
      </c>
      <c r="L59">
        <v>5</v>
      </c>
      <c r="M59" s="5">
        <f t="shared" si="3"/>
        <v>5</v>
      </c>
      <c r="N59" t="s">
        <v>181</v>
      </c>
      <c r="O59" t="str">
        <f t="shared" si="10"/>
        <v>Female</v>
      </c>
      <c r="P59" t="s">
        <v>234</v>
      </c>
    </row>
    <row r="60" spans="1:16" x14ac:dyDescent="0.3">
      <c r="A60" t="s">
        <v>72</v>
      </c>
      <c r="B60" t="s">
        <v>159</v>
      </c>
      <c r="C60" t="str">
        <f t="shared" si="7"/>
        <v>Eve Adams</v>
      </c>
      <c r="D60" t="s">
        <v>167</v>
      </c>
      <c r="E60" t="str">
        <f t="shared" si="1"/>
        <v>HR</v>
      </c>
      <c r="F60" t="s">
        <v>173</v>
      </c>
      <c r="G60" t="str">
        <f t="shared" si="8"/>
        <v>USA</v>
      </c>
      <c r="H60">
        <v>36541</v>
      </c>
      <c r="I60" s="7">
        <f t="shared" si="5"/>
        <v>36541</v>
      </c>
      <c r="J60" s="2">
        <v>42449</v>
      </c>
      <c r="K60" s="6">
        <f t="shared" si="9"/>
        <v>42449</v>
      </c>
      <c r="L60">
        <v>2</v>
      </c>
      <c r="M60" s="5">
        <f t="shared" si="3"/>
        <v>2</v>
      </c>
      <c r="N60" t="s">
        <v>179</v>
      </c>
      <c r="O60" t="str">
        <f t="shared" si="10"/>
        <v>Other</v>
      </c>
      <c r="P60" t="s">
        <v>235</v>
      </c>
    </row>
    <row r="61" spans="1:16" x14ac:dyDescent="0.3">
      <c r="A61" t="s">
        <v>73</v>
      </c>
      <c r="B61" t="s">
        <v>161</v>
      </c>
      <c r="C61" t="str">
        <f t="shared" ref="C61:C91" si="11">IF(B61="","Unknown",B61)</f>
        <v>John Doe</v>
      </c>
      <c r="D61" t="s">
        <v>169</v>
      </c>
      <c r="E61" t="str">
        <f t="shared" ref="E61:E121" si="12">IF(D61="","Marketing",D61)</f>
        <v>IT</v>
      </c>
      <c r="F61" t="s">
        <v>174</v>
      </c>
      <c r="G61" t="str">
        <f t="shared" ref="G61:G91" si="13">IF(F61="","India",F61)</f>
        <v>India</v>
      </c>
      <c r="H61">
        <v>84737</v>
      </c>
      <c r="I61" s="7">
        <f t="shared" si="5"/>
        <v>84737</v>
      </c>
      <c r="J61" s="2">
        <v>42456</v>
      </c>
      <c r="K61" s="6">
        <f t="shared" ref="K61:K91" si="14">IF(J61="","N/A",J61)</f>
        <v>42456</v>
      </c>
      <c r="L61">
        <v>1</v>
      </c>
      <c r="M61" s="5">
        <f t="shared" ref="M61:M121" si="15">IF(L61="",2,L61)</f>
        <v>1</v>
      </c>
      <c r="N61" t="s">
        <v>180</v>
      </c>
      <c r="O61" t="str">
        <f t="shared" ref="O61:O91" si="16">IF(N61="","Female",N61)</f>
        <v>Male</v>
      </c>
      <c r="P61" t="s">
        <v>236</v>
      </c>
    </row>
    <row r="62" spans="1:16" x14ac:dyDescent="0.3">
      <c r="A62" t="s">
        <v>74</v>
      </c>
      <c r="B62" t="s">
        <v>163</v>
      </c>
      <c r="C62" t="str">
        <f t="shared" si="11"/>
        <v>Sam Wilson</v>
      </c>
      <c r="D62" t="s">
        <v>166</v>
      </c>
      <c r="E62" t="str">
        <f t="shared" si="12"/>
        <v>Finance</v>
      </c>
      <c r="F62" t="s">
        <v>174</v>
      </c>
      <c r="G62" t="str">
        <f t="shared" si="13"/>
        <v>India</v>
      </c>
      <c r="H62">
        <v>33468</v>
      </c>
      <c r="I62" s="7">
        <f t="shared" si="5"/>
        <v>33468</v>
      </c>
      <c r="J62" s="2">
        <v>42463</v>
      </c>
      <c r="K62" s="6">
        <f t="shared" si="14"/>
        <v>42463</v>
      </c>
      <c r="L62">
        <v>4</v>
      </c>
      <c r="M62" s="5">
        <f t="shared" si="15"/>
        <v>4</v>
      </c>
      <c r="N62" t="s">
        <v>180</v>
      </c>
      <c r="O62" t="str">
        <f t="shared" si="16"/>
        <v>Male</v>
      </c>
      <c r="P62" t="s">
        <v>237</v>
      </c>
    </row>
    <row r="63" spans="1:16" x14ac:dyDescent="0.3">
      <c r="A63" t="s">
        <v>75</v>
      </c>
      <c r="B63" t="s">
        <v>163</v>
      </c>
      <c r="C63" t="str">
        <f t="shared" si="11"/>
        <v>Sam Wilson</v>
      </c>
      <c r="E63" t="str">
        <f t="shared" si="12"/>
        <v>Marketing</v>
      </c>
      <c r="F63" t="s">
        <v>176</v>
      </c>
      <c r="G63" t="str">
        <f t="shared" si="13"/>
        <v>Australia</v>
      </c>
      <c r="H63">
        <v>96365</v>
      </c>
      <c r="I63" s="7">
        <f t="shared" si="5"/>
        <v>96365</v>
      </c>
      <c r="J63" s="2">
        <v>42470</v>
      </c>
      <c r="K63" s="6">
        <f t="shared" si="14"/>
        <v>42470</v>
      </c>
      <c r="L63">
        <v>3</v>
      </c>
      <c r="M63" s="5">
        <f t="shared" si="15"/>
        <v>3</v>
      </c>
      <c r="N63" t="s">
        <v>179</v>
      </c>
      <c r="O63" t="str">
        <f t="shared" si="16"/>
        <v>Other</v>
      </c>
      <c r="P63" t="s">
        <v>238</v>
      </c>
    </row>
    <row r="64" spans="1:16" x14ac:dyDescent="0.3">
      <c r="A64" t="s">
        <v>76</v>
      </c>
      <c r="B64" t="s">
        <v>160</v>
      </c>
      <c r="C64" t="str">
        <f t="shared" si="11"/>
        <v>Alice Brown</v>
      </c>
      <c r="D64" t="s">
        <v>168</v>
      </c>
      <c r="E64" t="str">
        <f t="shared" si="12"/>
        <v>Sales</v>
      </c>
      <c r="F64" t="s">
        <v>174</v>
      </c>
      <c r="G64" t="str">
        <f t="shared" si="13"/>
        <v>India</v>
      </c>
      <c r="H64">
        <v>61942</v>
      </c>
      <c r="I64" s="7">
        <f t="shared" si="5"/>
        <v>61942</v>
      </c>
      <c r="J64" s="2">
        <v>42477</v>
      </c>
      <c r="K64" s="6">
        <f t="shared" si="14"/>
        <v>42477</v>
      </c>
      <c r="L64">
        <v>3</v>
      </c>
      <c r="M64" s="5">
        <f t="shared" si="15"/>
        <v>3</v>
      </c>
      <c r="N64" t="s">
        <v>181</v>
      </c>
      <c r="O64" t="str">
        <f t="shared" si="16"/>
        <v>Female</v>
      </c>
      <c r="P64" t="s">
        <v>239</v>
      </c>
    </row>
    <row r="65" spans="1:16" x14ac:dyDescent="0.3">
      <c r="A65" t="s">
        <v>77</v>
      </c>
      <c r="B65" t="s">
        <v>163</v>
      </c>
      <c r="C65" t="str">
        <f t="shared" si="11"/>
        <v>Sam Wilson</v>
      </c>
      <c r="D65" t="s">
        <v>166</v>
      </c>
      <c r="E65" t="str">
        <f t="shared" si="12"/>
        <v>Finance</v>
      </c>
      <c r="F65" t="s">
        <v>175</v>
      </c>
      <c r="G65" t="str">
        <f t="shared" si="13"/>
        <v>UK</v>
      </c>
      <c r="H65">
        <v>41467</v>
      </c>
      <c r="I65" s="7">
        <f t="shared" si="5"/>
        <v>41467</v>
      </c>
      <c r="J65" s="2">
        <v>42484</v>
      </c>
      <c r="K65" s="6">
        <f t="shared" si="14"/>
        <v>42484</v>
      </c>
      <c r="L65">
        <v>2</v>
      </c>
      <c r="M65" s="5">
        <f t="shared" si="15"/>
        <v>2</v>
      </c>
      <c r="O65" t="str">
        <f t="shared" si="16"/>
        <v>Female</v>
      </c>
      <c r="P65" t="s">
        <v>201</v>
      </c>
    </row>
    <row r="66" spans="1:16" x14ac:dyDescent="0.3">
      <c r="A66" t="s">
        <v>78</v>
      </c>
      <c r="B66" t="s">
        <v>165</v>
      </c>
      <c r="C66" t="str">
        <f t="shared" si="11"/>
        <v>Bob Johnson</v>
      </c>
      <c r="D66" t="s">
        <v>166</v>
      </c>
      <c r="E66" t="str">
        <f t="shared" si="12"/>
        <v>Finance</v>
      </c>
      <c r="F66" t="s">
        <v>174</v>
      </c>
      <c r="G66" t="str">
        <f t="shared" si="13"/>
        <v>India</v>
      </c>
      <c r="H66">
        <v>77096</v>
      </c>
      <c r="I66" s="7">
        <f t="shared" si="5"/>
        <v>77096</v>
      </c>
      <c r="J66" s="2">
        <v>42491</v>
      </c>
      <c r="K66" s="6">
        <f t="shared" si="14"/>
        <v>42491</v>
      </c>
      <c r="L66">
        <v>1</v>
      </c>
      <c r="M66" s="5">
        <f t="shared" si="15"/>
        <v>1</v>
      </c>
      <c r="O66" t="str">
        <f t="shared" si="16"/>
        <v>Female</v>
      </c>
      <c r="P66" t="s">
        <v>240</v>
      </c>
    </row>
    <row r="67" spans="1:16" x14ac:dyDescent="0.3">
      <c r="A67" t="s">
        <v>79</v>
      </c>
      <c r="B67" t="s">
        <v>159</v>
      </c>
      <c r="C67" t="str">
        <f t="shared" si="11"/>
        <v>Eve Adams</v>
      </c>
      <c r="D67" t="s">
        <v>168</v>
      </c>
      <c r="E67" t="str">
        <f t="shared" si="12"/>
        <v>Sales</v>
      </c>
      <c r="F67" t="s">
        <v>176</v>
      </c>
      <c r="G67" t="str">
        <f t="shared" si="13"/>
        <v>Australia</v>
      </c>
      <c r="H67">
        <v>69952</v>
      </c>
      <c r="I67" s="7">
        <f t="shared" ref="I67:I130" si="17">IF(H67="N/A",AVERAGEIF($E$2:$E$142,E67,$H$2:$H$142),H67)</f>
        <v>69952</v>
      </c>
      <c r="J67" s="2">
        <v>42498</v>
      </c>
      <c r="K67" s="6">
        <f t="shared" si="14"/>
        <v>42498</v>
      </c>
      <c r="L67">
        <v>5</v>
      </c>
      <c r="M67" s="5">
        <f t="shared" si="15"/>
        <v>5</v>
      </c>
      <c r="N67" t="s">
        <v>181</v>
      </c>
      <c r="O67" t="str">
        <f t="shared" si="16"/>
        <v>Female</v>
      </c>
      <c r="P67" t="s">
        <v>182</v>
      </c>
    </row>
    <row r="68" spans="1:16" x14ac:dyDescent="0.3">
      <c r="A68" t="s">
        <v>80</v>
      </c>
      <c r="B68" t="s">
        <v>159</v>
      </c>
      <c r="C68" t="str">
        <f t="shared" si="11"/>
        <v>Eve Adams</v>
      </c>
      <c r="D68" t="s">
        <v>170</v>
      </c>
      <c r="E68" t="str">
        <f t="shared" si="12"/>
        <v>Marketing</v>
      </c>
      <c r="F68" t="s">
        <v>173</v>
      </c>
      <c r="G68" t="str">
        <f t="shared" si="13"/>
        <v>USA</v>
      </c>
      <c r="H68">
        <v>85065</v>
      </c>
      <c r="I68" s="7">
        <f t="shared" si="17"/>
        <v>85065</v>
      </c>
      <c r="J68" s="2">
        <v>42505</v>
      </c>
      <c r="K68" s="6">
        <f t="shared" si="14"/>
        <v>42505</v>
      </c>
      <c r="L68">
        <v>3</v>
      </c>
      <c r="M68" s="5">
        <f t="shared" si="15"/>
        <v>3</v>
      </c>
      <c r="O68" t="str">
        <f t="shared" si="16"/>
        <v>Female</v>
      </c>
      <c r="P68" t="s">
        <v>241</v>
      </c>
    </row>
    <row r="69" spans="1:16" x14ac:dyDescent="0.3">
      <c r="A69" t="s">
        <v>81</v>
      </c>
      <c r="B69" t="s">
        <v>165</v>
      </c>
      <c r="C69" t="str">
        <f t="shared" si="11"/>
        <v>Bob Johnson</v>
      </c>
      <c r="D69" t="s">
        <v>170</v>
      </c>
      <c r="E69" t="str">
        <f t="shared" si="12"/>
        <v>Marketing</v>
      </c>
      <c r="F69" t="s">
        <v>174</v>
      </c>
      <c r="G69" t="str">
        <f t="shared" si="13"/>
        <v>India</v>
      </c>
      <c r="H69">
        <v>56512</v>
      </c>
      <c r="I69" s="7">
        <f t="shared" si="17"/>
        <v>56512</v>
      </c>
      <c r="J69" s="2">
        <v>42512</v>
      </c>
      <c r="K69" s="6">
        <f t="shared" si="14"/>
        <v>42512</v>
      </c>
      <c r="M69" s="5">
        <f t="shared" si="15"/>
        <v>2</v>
      </c>
      <c r="N69" t="s">
        <v>179</v>
      </c>
      <c r="O69" t="str">
        <f t="shared" si="16"/>
        <v>Other</v>
      </c>
      <c r="P69" t="s">
        <v>190</v>
      </c>
    </row>
    <row r="70" spans="1:16" x14ac:dyDescent="0.3">
      <c r="A70" t="s">
        <v>82</v>
      </c>
      <c r="B70" t="s">
        <v>161</v>
      </c>
      <c r="C70" t="str">
        <f t="shared" si="11"/>
        <v>John Doe</v>
      </c>
      <c r="D70" t="s">
        <v>168</v>
      </c>
      <c r="E70" t="str">
        <f t="shared" si="12"/>
        <v>Sales</v>
      </c>
      <c r="F70" t="s">
        <v>174</v>
      </c>
      <c r="G70" t="str">
        <f t="shared" si="13"/>
        <v>India</v>
      </c>
      <c r="H70">
        <v>91101</v>
      </c>
      <c r="I70" s="7">
        <f t="shared" si="17"/>
        <v>91101</v>
      </c>
      <c r="J70" s="2">
        <v>42519</v>
      </c>
      <c r="K70" s="6">
        <f t="shared" si="14"/>
        <v>42519</v>
      </c>
      <c r="L70">
        <v>4</v>
      </c>
      <c r="M70" s="5">
        <f t="shared" si="15"/>
        <v>4</v>
      </c>
      <c r="N70" t="s">
        <v>181</v>
      </c>
      <c r="O70" t="str">
        <f t="shared" si="16"/>
        <v>Female</v>
      </c>
      <c r="P70" t="s">
        <v>234</v>
      </c>
    </row>
    <row r="71" spans="1:16" x14ac:dyDescent="0.3">
      <c r="A71" t="s">
        <v>83</v>
      </c>
      <c r="B71" t="s">
        <v>163</v>
      </c>
      <c r="C71" t="str">
        <f t="shared" si="11"/>
        <v>Sam Wilson</v>
      </c>
      <c r="E71" t="str">
        <f t="shared" si="12"/>
        <v>Marketing</v>
      </c>
      <c r="F71" t="s">
        <v>172</v>
      </c>
      <c r="G71" t="str">
        <f t="shared" si="13"/>
        <v>Germany</v>
      </c>
      <c r="H71">
        <v>41243</v>
      </c>
      <c r="I71" s="7">
        <f t="shared" si="17"/>
        <v>41243</v>
      </c>
      <c r="J71" s="2">
        <v>42526</v>
      </c>
      <c r="K71" s="6">
        <f t="shared" si="14"/>
        <v>42526</v>
      </c>
      <c r="M71" s="5">
        <f t="shared" si="15"/>
        <v>2</v>
      </c>
      <c r="O71" t="str">
        <f t="shared" si="16"/>
        <v>Female</v>
      </c>
      <c r="P71" t="s">
        <v>211</v>
      </c>
    </row>
    <row r="72" spans="1:16" x14ac:dyDescent="0.3">
      <c r="A72" t="s">
        <v>84</v>
      </c>
      <c r="C72" t="str">
        <f t="shared" si="11"/>
        <v>Unknown</v>
      </c>
      <c r="D72" t="s">
        <v>168</v>
      </c>
      <c r="E72" t="str">
        <f t="shared" si="12"/>
        <v>Sales</v>
      </c>
      <c r="G72" t="str">
        <f t="shared" si="13"/>
        <v>India</v>
      </c>
      <c r="H72">
        <v>96142</v>
      </c>
      <c r="I72" s="7">
        <f t="shared" si="17"/>
        <v>96142</v>
      </c>
      <c r="J72" s="2">
        <v>42533</v>
      </c>
      <c r="K72" s="6">
        <f t="shared" si="14"/>
        <v>42533</v>
      </c>
      <c r="L72">
        <v>1</v>
      </c>
      <c r="M72" s="5">
        <f t="shared" si="15"/>
        <v>1</v>
      </c>
      <c r="N72" t="s">
        <v>179</v>
      </c>
      <c r="O72" t="str">
        <f t="shared" si="16"/>
        <v>Other</v>
      </c>
      <c r="P72" t="s">
        <v>242</v>
      </c>
    </row>
    <row r="73" spans="1:16" x14ac:dyDescent="0.3">
      <c r="A73" t="s">
        <v>85</v>
      </c>
      <c r="B73" t="s">
        <v>159</v>
      </c>
      <c r="C73" t="str">
        <f t="shared" si="11"/>
        <v>Eve Adams</v>
      </c>
      <c r="D73" t="s">
        <v>169</v>
      </c>
      <c r="E73" t="str">
        <f t="shared" si="12"/>
        <v>IT</v>
      </c>
      <c r="F73" t="s">
        <v>174</v>
      </c>
      <c r="G73" t="str">
        <f t="shared" si="13"/>
        <v>India</v>
      </c>
      <c r="H73">
        <v>94301</v>
      </c>
      <c r="I73" s="7">
        <f t="shared" si="17"/>
        <v>94301</v>
      </c>
      <c r="J73" s="2">
        <v>42540</v>
      </c>
      <c r="K73" s="6">
        <f t="shared" si="14"/>
        <v>42540</v>
      </c>
      <c r="L73">
        <v>1</v>
      </c>
      <c r="M73" s="5">
        <f t="shared" si="15"/>
        <v>1</v>
      </c>
      <c r="N73" t="s">
        <v>180</v>
      </c>
      <c r="O73" t="str">
        <f t="shared" si="16"/>
        <v>Male</v>
      </c>
      <c r="P73" t="s">
        <v>223</v>
      </c>
    </row>
    <row r="74" spans="1:16" x14ac:dyDescent="0.3">
      <c r="A74" t="s">
        <v>86</v>
      </c>
      <c r="B74" t="s">
        <v>162</v>
      </c>
      <c r="C74" t="str">
        <f t="shared" si="11"/>
        <v>Jane Smith</v>
      </c>
      <c r="E74" t="str">
        <f t="shared" si="12"/>
        <v>Marketing</v>
      </c>
      <c r="F74" t="s">
        <v>175</v>
      </c>
      <c r="G74" t="str">
        <f t="shared" si="13"/>
        <v>UK</v>
      </c>
      <c r="H74">
        <v>69166</v>
      </c>
      <c r="I74" s="7">
        <f t="shared" si="17"/>
        <v>69166</v>
      </c>
      <c r="J74" s="2">
        <v>42547</v>
      </c>
      <c r="K74" s="6">
        <f t="shared" si="14"/>
        <v>42547</v>
      </c>
      <c r="L74">
        <v>1</v>
      </c>
      <c r="M74" s="5">
        <f t="shared" si="15"/>
        <v>1</v>
      </c>
      <c r="N74" t="s">
        <v>181</v>
      </c>
      <c r="O74" t="str">
        <f t="shared" si="16"/>
        <v>Female</v>
      </c>
      <c r="P74" t="s">
        <v>243</v>
      </c>
    </row>
    <row r="75" spans="1:16" x14ac:dyDescent="0.3">
      <c r="A75" t="s">
        <v>87</v>
      </c>
      <c r="B75" t="s">
        <v>163</v>
      </c>
      <c r="C75" t="str">
        <f t="shared" si="11"/>
        <v>Sam Wilson</v>
      </c>
      <c r="E75" t="str">
        <f t="shared" si="12"/>
        <v>Marketing</v>
      </c>
      <c r="F75" t="s">
        <v>175</v>
      </c>
      <c r="G75" t="str">
        <f t="shared" si="13"/>
        <v>UK</v>
      </c>
      <c r="H75">
        <v>78245</v>
      </c>
      <c r="I75" s="7">
        <f t="shared" si="17"/>
        <v>78245</v>
      </c>
      <c r="J75" s="2">
        <v>42554</v>
      </c>
      <c r="K75" s="6">
        <f t="shared" si="14"/>
        <v>42554</v>
      </c>
      <c r="L75">
        <v>2</v>
      </c>
      <c r="M75" s="5">
        <f t="shared" si="15"/>
        <v>2</v>
      </c>
      <c r="O75" t="str">
        <f t="shared" si="16"/>
        <v>Female</v>
      </c>
      <c r="P75" t="s">
        <v>244</v>
      </c>
    </row>
    <row r="76" spans="1:16" x14ac:dyDescent="0.3">
      <c r="A76" t="s">
        <v>88</v>
      </c>
      <c r="B76" t="s">
        <v>164</v>
      </c>
      <c r="C76" t="str">
        <f t="shared" si="11"/>
        <v>Chris Lee</v>
      </c>
      <c r="D76" t="s">
        <v>168</v>
      </c>
      <c r="E76" t="str">
        <f t="shared" si="12"/>
        <v>Sales</v>
      </c>
      <c r="F76" t="s">
        <v>173</v>
      </c>
      <c r="G76" t="str">
        <f t="shared" si="13"/>
        <v>USA</v>
      </c>
      <c r="H76">
        <v>66079</v>
      </c>
      <c r="I76" s="7">
        <f t="shared" si="17"/>
        <v>66079</v>
      </c>
      <c r="J76" s="2">
        <v>42561</v>
      </c>
      <c r="K76" s="6">
        <f t="shared" si="14"/>
        <v>42561</v>
      </c>
      <c r="L76">
        <v>2</v>
      </c>
      <c r="M76" s="5">
        <f t="shared" si="15"/>
        <v>2</v>
      </c>
      <c r="N76" t="s">
        <v>179</v>
      </c>
      <c r="O76" t="str">
        <f t="shared" si="16"/>
        <v>Other</v>
      </c>
      <c r="P76" t="s">
        <v>245</v>
      </c>
    </row>
    <row r="77" spans="1:16" x14ac:dyDescent="0.3">
      <c r="A77" t="s">
        <v>90</v>
      </c>
      <c r="B77" t="s">
        <v>162</v>
      </c>
      <c r="C77" t="str">
        <f t="shared" si="11"/>
        <v>Jane Smith</v>
      </c>
      <c r="D77" t="s">
        <v>168</v>
      </c>
      <c r="E77" t="str">
        <f t="shared" si="12"/>
        <v>Sales</v>
      </c>
      <c r="F77" t="s">
        <v>173</v>
      </c>
      <c r="G77" t="str">
        <f t="shared" si="13"/>
        <v>USA</v>
      </c>
      <c r="H77">
        <v>95621</v>
      </c>
      <c r="I77" s="7">
        <f t="shared" si="17"/>
        <v>95621</v>
      </c>
      <c r="J77" s="2">
        <v>42575</v>
      </c>
      <c r="K77" s="6">
        <f t="shared" si="14"/>
        <v>42575</v>
      </c>
      <c r="L77">
        <v>3</v>
      </c>
      <c r="M77" s="5">
        <f t="shared" si="15"/>
        <v>3</v>
      </c>
      <c r="N77" t="s">
        <v>181</v>
      </c>
      <c r="O77" t="str">
        <f t="shared" si="16"/>
        <v>Female</v>
      </c>
      <c r="P77" t="s">
        <v>246</v>
      </c>
    </row>
    <row r="78" spans="1:16" x14ac:dyDescent="0.3">
      <c r="A78" t="s">
        <v>91</v>
      </c>
      <c r="B78" t="s">
        <v>159</v>
      </c>
      <c r="C78" t="str">
        <f t="shared" si="11"/>
        <v>Eve Adams</v>
      </c>
      <c r="D78" t="s">
        <v>169</v>
      </c>
      <c r="E78" t="str">
        <f t="shared" si="12"/>
        <v>IT</v>
      </c>
      <c r="F78" t="s">
        <v>175</v>
      </c>
      <c r="G78" t="str">
        <f t="shared" si="13"/>
        <v>UK</v>
      </c>
      <c r="H78">
        <v>42262</v>
      </c>
      <c r="I78" s="7">
        <f t="shared" si="17"/>
        <v>42262</v>
      </c>
      <c r="J78" s="2">
        <v>42582</v>
      </c>
      <c r="K78" s="6">
        <f t="shared" si="14"/>
        <v>42582</v>
      </c>
      <c r="L78">
        <v>1</v>
      </c>
      <c r="M78" s="5">
        <f t="shared" si="15"/>
        <v>1</v>
      </c>
      <c r="O78" t="str">
        <f t="shared" si="16"/>
        <v>Female</v>
      </c>
      <c r="P78" t="s">
        <v>247</v>
      </c>
    </row>
    <row r="79" spans="1:16" x14ac:dyDescent="0.3">
      <c r="A79" t="s">
        <v>92</v>
      </c>
      <c r="B79" t="s">
        <v>163</v>
      </c>
      <c r="C79" t="str">
        <f t="shared" si="11"/>
        <v>Sam Wilson</v>
      </c>
      <c r="D79" t="s">
        <v>168</v>
      </c>
      <c r="E79" t="str">
        <f t="shared" si="12"/>
        <v>Sales</v>
      </c>
      <c r="F79" t="s">
        <v>174</v>
      </c>
      <c r="G79" t="str">
        <f t="shared" si="13"/>
        <v>India</v>
      </c>
      <c r="H79">
        <v>99621</v>
      </c>
      <c r="I79" s="7">
        <f t="shared" si="17"/>
        <v>99621</v>
      </c>
      <c r="J79" s="2">
        <v>42589</v>
      </c>
      <c r="K79" s="6">
        <f t="shared" si="14"/>
        <v>42589</v>
      </c>
      <c r="M79" s="5">
        <f t="shared" si="15"/>
        <v>2</v>
      </c>
      <c r="N79" t="s">
        <v>179</v>
      </c>
      <c r="O79" t="str">
        <f t="shared" si="16"/>
        <v>Other</v>
      </c>
      <c r="P79" t="s">
        <v>248</v>
      </c>
    </row>
    <row r="80" spans="1:16" x14ac:dyDescent="0.3">
      <c r="A80" t="s">
        <v>93</v>
      </c>
      <c r="B80" t="s">
        <v>161</v>
      </c>
      <c r="C80" t="str">
        <f t="shared" si="11"/>
        <v>John Doe</v>
      </c>
      <c r="D80" t="s">
        <v>170</v>
      </c>
      <c r="E80" t="str">
        <f t="shared" si="12"/>
        <v>Marketing</v>
      </c>
      <c r="F80" t="s">
        <v>174</v>
      </c>
      <c r="G80" t="str">
        <f t="shared" si="13"/>
        <v>India</v>
      </c>
      <c r="H80">
        <v>44682</v>
      </c>
      <c r="I80" s="7">
        <f t="shared" si="17"/>
        <v>44682</v>
      </c>
      <c r="J80" s="2">
        <v>42596</v>
      </c>
      <c r="K80" s="6">
        <f t="shared" si="14"/>
        <v>42596</v>
      </c>
      <c r="L80">
        <v>4</v>
      </c>
      <c r="M80" s="5">
        <f t="shared" si="15"/>
        <v>4</v>
      </c>
      <c r="N80" t="s">
        <v>181</v>
      </c>
      <c r="O80" t="str">
        <f t="shared" si="16"/>
        <v>Female</v>
      </c>
      <c r="P80" t="s">
        <v>220</v>
      </c>
    </row>
    <row r="81" spans="1:16" x14ac:dyDescent="0.3">
      <c r="A81" t="s">
        <v>94</v>
      </c>
      <c r="B81" t="s">
        <v>164</v>
      </c>
      <c r="C81" t="str">
        <f t="shared" si="11"/>
        <v>Chris Lee</v>
      </c>
      <c r="D81" t="s">
        <v>166</v>
      </c>
      <c r="E81" t="str">
        <f t="shared" si="12"/>
        <v>Finance</v>
      </c>
      <c r="G81" t="str">
        <f t="shared" si="13"/>
        <v>India</v>
      </c>
      <c r="H81">
        <v>35163</v>
      </c>
      <c r="I81" s="7">
        <f t="shared" si="17"/>
        <v>35163</v>
      </c>
      <c r="J81" s="2">
        <v>42603</v>
      </c>
      <c r="K81" s="6">
        <f t="shared" si="14"/>
        <v>42603</v>
      </c>
      <c r="L81">
        <v>5</v>
      </c>
      <c r="M81" s="5">
        <f t="shared" si="15"/>
        <v>5</v>
      </c>
      <c r="N81" t="s">
        <v>179</v>
      </c>
      <c r="O81" t="str">
        <f t="shared" si="16"/>
        <v>Other</v>
      </c>
      <c r="P81" t="s">
        <v>249</v>
      </c>
    </row>
    <row r="82" spans="1:16" x14ac:dyDescent="0.3">
      <c r="A82" t="s">
        <v>95</v>
      </c>
      <c r="B82" t="s">
        <v>164</v>
      </c>
      <c r="C82" t="str">
        <f t="shared" si="11"/>
        <v>Chris Lee</v>
      </c>
      <c r="D82" t="s">
        <v>169</v>
      </c>
      <c r="E82" t="str">
        <f t="shared" si="12"/>
        <v>IT</v>
      </c>
      <c r="F82" t="s">
        <v>174</v>
      </c>
      <c r="G82" t="str">
        <f t="shared" si="13"/>
        <v>India</v>
      </c>
      <c r="H82">
        <v>33483</v>
      </c>
      <c r="I82" s="7">
        <f t="shared" si="17"/>
        <v>33483</v>
      </c>
      <c r="J82" s="2">
        <v>42610</v>
      </c>
      <c r="K82" s="6">
        <f t="shared" si="14"/>
        <v>42610</v>
      </c>
      <c r="L82">
        <v>4</v>
      </c>
      <c r="M82" s="5">
        <f t="shared" si="15"/>
        <v>4</v>
      </c>
      <c r="N82" t="s">
        <v>180</v>
      </c>
      <c r="O82" t="str">
        <f t="shared" si="16"/>
        <v>Male</v>
      </c>
      <c r="P82" t="s">
        <v>250</v>
      </c>
    </row>
    <row r="83" spans="1:16" x14ac:dyDescent="0.3">
      <c r="A83" t="s">
        <v>96</v>
      </c>
      <c r="B83" t="s">
        <v>163</v>
      </c>
      <c r="C83" t="str">
        <f t="shared" si="11"/>
        <v>Sam Wilson</v>
      </c>
      <c r="D83" t="s">
        <v>167</v>
      </c>
      <c r="E83" t="str">
        <f t="shared" si="12"/>
        <v>HR</v>
      </c>
      <c r="F83" t="s">
        <v>172</v>
      </c>
      <c r="G83" t="str">
        <f t="shared" si="13"/>
        <v>Germany</v>
      </c>
      <c r="H83">
        <v>55303</v>
      </c>
      <c r="I83" s="7">
        <f t="shared" si="17"/>
        <v>55303</v>
      </c>
      <c r="J83" s="2">
        <v>42617</v>
      </c>
      <c r="K83" s="6">
        <f t="shared" si="14"/>
        <v>42617</v>
      </c>
      <c r="L83">
        <v>4</v>
      </c>
      <c r="M83" s="5">
        <f t="shared" si="15"/>
        <v>4</v>
      </c>
      <c r="N83" t="s">
        <v>180</v>
      </c>
      <c r="O83" t="str">
        <f t="shared" si="16"/>
        <v>Male</v>
      </c>
      <c r="P83" t="s">
        <v>203</v>
      </c>
    </row>
    <row r="84" spans="1:16" x14ac:dyDescent="0.3">
      <c r="A84" t="s">
        <v>97</v>
      </c>
      <c r="B84" t="s">
        <v>164</v>
      </c>
      <c r="C84" t="str">
        <f t="shared" si="11"/>
        <v>Chris Lee</v>
      </c>
      <c r="D84" t="s">
        <v>169</v>
      </c>
      <c r="E84" t="str">
        <f t="shared" si="12"/>
        <v>IT</v>
      </c>
      <c r="G84" t="str">
        <f t="shared" si="13"/>
        <v>India</v>
      </c>
      <c r="H84">
        <v>63434</v>
      </c>
      <c r="I84" s="7">
        <f t="shared" si="17"/>
        <v>63434</v>
      </c>
      <c r="J84" s="2">
        <v>42624</v>
      </c>
      <c r="K84" s="6">
        <f t="shared" si="14"/>
        <v>42624</v>
      </c>
      <c r="L84">
        <v>3</v>
      </c>
      <c r="M84" s="5">
        <f t="shared" si="15"/>
        <v>3</v>
      </c>
      <c r="O84" t="str">
        <f t="shared" si="16"/>
        <v>Female</v>
      </c>
      <c r="P84" t="s">
        <v>251</v>
      </c>
    </row>
    <row r="85" spans="1:16" x14ac:dyDescent="0.3">
      <c r="A85" t="s">
        <v>98</v>
      </c>
      <c r="B85" t="s">
        <v>162</v>
      </c>
      <c r="C85" t="str">
        <f t="shared" si="11"/>
        <v>Jane Smith</v>
      </c>
      <c r="E85" t="str">
        <f t="shared" si="12"/>
        <v>Marketing</v>
      </c>
      <c r="F85" t="s">
        <v>176</v>
      </c>
      <c r="G85" t="str">
        <f t="shared" si="13"/>
        <v>Australia</v>
      </c>
      <c r="H85">
        <v>38830</v>
      </c>
      <c r="I85" s="7">
        <f t="shared" si="17"/>
        <v>38830</v>
      </c>
      <c r="J85" s="2">
        <v>42631</v>
      </c>
      <c r="K85" s="6">
        <f t="shared" si="14"/>
        <v>42631</v>
      </c>
      <c r="L85">
        <v>3</v>
      </c>
      <c r="M85" s="5">
        <f t="shared" si="15"/>
        <v>3</v>
      </c>
      <c r="N85" t="s">
        <v>179</v>
      </c>
      <c r="O85" t="str">
        <f t="shared" si="16"/>
        <v>Other</v>
      </c>
      <c r="P85" t="s">
        <v>203</v>
      </c>
    </row>
    <row r="86" spans="1:16" x14ac:dyDescent="0.3">
      <c r="A86" t="s">
        <v>99</v>
      </c>
      <c r="C86" t="str">
        <f t="shared" si="11"/>
        <v>Unknown</v>
      </c>
      <c r="D86" t="s">
        <v>170</v>
      </c>
      <c r="E86" t="str">
        <f t="shared" si="12"/>
        <v>Marketing</v>
      </c>
      <c r="F86" t="s">
        <v>175</v>
      </c>
      <c r="G86" t="str">
        <f t="shared" si="13"/>
        <v>UK</v>
      </c>
      <c r="H86">
        <v>50741</v>
      </c>
      <c r="I86" s="7">
        <f t="shared" si="17"/>
        <v>50741</v>
      </c>
      <c r="J86" s="2">
        <v>42638</v>
      </c>
      <c r="K86" s="6">
        <f t="shared" si="14"/>
        <v>42638</v>
      </c>
      <c r="L86">
        <v>3</v>
      </c>
      <c r="M86" s="5">
        <f t="shared" si="15"/>
        <v>3</v>
      </c>
      <c r="N86" t="s">
        <v>178</v>
      </c>
      <c r="O86" t="str">
        <f t="shared" si="16"/>
        <v>Unknown</v>
      </c>
      <c r="P86" t="s">
        <v>240</v>
      </c>
    </row>
    <row r="87" spans="1:16" x14ac:dyDescent="0.3">
      <c r="A87" t="s">
        <v>100</v>
      </c>
      <c r="B87" t="s">
        <v>160</v>
      </c>
      <c r="C87" t="str">
        <f t="shared" si="11"/>
        <v>Alice Brown</v>
      </c>
      <c r="D87" t="s">
        <v>167</v>
      </c>
      <c r="E87" t="str">
        <f t="shared" si="12"/>
        <v>HR</v>
      </c>
      <c r="F87" t="s">
        <v>176</v>
      </c>
      <c r="G87" t="str">
        <f t="shared" si="13"/>
        <v>Australia</v>
      </c>
      <c r="H87">
        <v>69420</v>
      </c>
      <c r="I87" s="7">
        <f t="shared" si="17"/>
        <v>69420</v>
      </c>
      <c r="J87" s="2">
        <v>42645</v>
      </c>
      <c r="K87" s="6">
        <f t="shared" si="14"/>
        <v>42645</v>
      </c>
      <c r="L87">
        <v>1</v>
      </c>
      <c r="M87" s="5">
        <f t="shared" si="15"/>
        <v>1</v>
      </c>
      <c r="N87" t="s">
        <v>180</v>
      </c>
      <c r="O87" t="str">
        <f t="shared" si="16"/>
        <v>Male</v>
      </c>
      <c r="P87" t="s">
        <v>225</v>
      </c>
    </row>
    <row r="88" spans="1:16" x14ac:dyDescent="0.3">
      <c r="A88" t="s">
        <v>101</v>
      </c>
      <c r="B88" t="s">
        <v>162</v>
      </c>
      <c r="C88" t="str">
        <f t="shared" si="11"/>
        <v>Jane Smith</v>
      </c>
      <c r="D88" t="s">
        <v>169</v>
      </c>
      <c r="E88" t="str">
        <f t="shared" si="12"/>
        <v>IT</v>
      </c>
      <c r="G88" t="str">
        <f t="shared" si="13"/>
        <v>India</v>
      </c>
      <c r="H88">
        <v>80588</v>
      </c>
      <c r="I88" s="7">
        <f t="shared" si="17"/>
        <v>80588</v>
      </c>
      <c r="J88" s="2">
        <v>42652</v>
      </c>
      <c r="K88" s="6">
        <f t="shared" si="14"/>
        <v>42652</v>
      </c>
      <c r="L88">
        <v>5</v>
      </c>
      <c r="M88" s="5">
        <f t="shared" si="15"/>
        <v>5</v>
      </c>
      <c r="N88" t="s">
        <v>180</v>
      </c>
      <c r="O88" t="str">
        <f t="shared" si="16"/>
        <v>Male</v>
      </c>
      <c r="P88" t="s">
        <v>216</v>
      </c>
    </row>
    <row r="89" spans="1:16" x14ac:dyDescent="0.3">
      <c r="A89" t="s">
        <v>102</v>
      </c>
      <c r="B89" t="s">
        <v>160</v>
      </c>
      <c r="C89" t="str">
        <f t="shared" si="11"/>
        <v>Alice Brown</v>
      </c>
      <c r="E89" t="str">
        <f t="shared" si="12"/>
        <v>Marketing</v>
      </c>
      <c r="F89" t="s">
        <v>173</v>
      </c>
      <c r="G89" t="str">
        <f t="shared" si="13"/>
        <v>USA</v>
      </c>
      <c r="H89">
        <v>76238</v>
      </c>
      <c r="I89" s="7">
        <f t="shared" si="17"/>
        <v>76238</v>
      </c>
      <c r="J89" s="2">
        <v>42659</v>
      </c>
      <c r="K89" s="6">
        <f t="shared" si="14"/>
        <v>42659</v>
      </c>
      <c r="L89">
        <v>4</v>
      </c>
      <c r="M89" s="5">
        <f t="shared" si="15"/>
        <v>4</v>
      </c>
      <c r="N89" t="s">
        <v>180</v>
      </c>
      <c r="O89" t="str">
        <f t="shared" si="16"/>
        <v>Male</v>
      </c>
      <c r="P89" t="s">
        <v>252</v>
      </c>
    </row>
    <row r="90" spans="1:16" x14ac:dyDescent="0.3">
      <c r="A90" t="s">
        <v>103</v>
      </c>
      <c r="B90" t="s">
        <v>165</v>
      </c>
      <c r="C90" t="str">
        <f t="shared" si="11"/>
        <v>Bob Johnson</v>
      </c>
      <c r="D90" t="s">
        <v>169</v>
      </c>
      <c r="E90" t="str">
        <f t="shared" si="12"/>
        <v>IT</v>
      </c>
      <c r="F90" t="s">
        <v>174</v>
      </c>
      <c r="G90" t="str">
        <f t="shared" si="13"/>
        <v>India</v>
      </c>
      <c r="H90">
        <v>33264</v>
      </c>
      <c r="I90" s="7">
        <f t="shared" si="17"/>
        <v>33264</v>
      </c>
      <c r="J90" s="2">
        <v>42666</v>
      </c>
      <c r="K90" s="6">
        <f t="shared" si="14"/>
        <v>42666</v>
      </c>
      <c r="M90" s="5">
        <f t="shared" si="15"/>
        <v>2</v>
      </c>
      <c r="N90" t="s">
        <v>181</v>
      </c>
      <c r="O90" t="str">
        <f t="shared" si="16"/>
        <v>Female</v>
      </c>
      <c r="P90" t="s">
        <v>253</v>
      </c>
    </row>
    <row r="91" spans="1:16" x14ac:dyDescent="0.3">
      <c r="A91" t="s">
        <v>104</v>
      </c>
      <c r="B91" t="s">
        <v>160</v>
      </c>
      <c r="C91" t="str">
        <f t="shared" si="11"/>
        <v>Alice Brown</v>
      </c>
      <c r="D91" t="s">
        <v>166</v>
      </c>
      <c r="E91" t="str">
        <f t="shared" si="12"/>
        <v>Finance</v>
      </c>
      <c r="F91" t="s">
        <v>176</v>
      </c>
      <c r="G91" t="str">
        <f t="shared" si="13"/>
        <v>Australia</v>
      </c>
      <c r="H91">
        <v>96101</v>
      </c>
      <c r="I91" s="7">
        <f t="shared" si="17"/>
        <v>96101</v>
      </c>
      <c r="J91" s="2">
        <v>42673</v>
      </c>
      <c r="K91" s="6">
        <f t="shared" si="14"/>
        <v>42673</v>
      </c>
      <c r="M91" s="5">
        <f t="shared" si="15"/>
        <v>2</v>
      </c>
      <c r="N91" t="s">
        <v>179</v>
      </c>
      <c r="O91" t="str">
        <f t="shared" si="16"/>
        <v>Other</v>
      </c>
      <c r="P91" t="s">
        <v>254</v>
      </c>
    </row>
    <row r="92" spans="1:16" x14ac:dyDescent="0.3">
      <c r="A92" t="s">
        <v>105</v>
      </c>
      <c r="B92" t="s">
        <v>162</v>
      </c>
      <c r="C92" t="str">
        <f t="shared" ref="C92:C121" si="18">IF(B92="","Unknown",B92)</f>
        <v>Jane Smith</v>
      </c>
      <c r="D92" t="s">
        <v>166</v>
      </c>
      <c r="E92" t="str">
        <f t="shared" si="12"/>
        <v>Finance</v>
      </c>
      <c r="F92" t="s">
        <v>173</v>
      </c>
      <c r="G92" t="str">
        <f t="shared" ref="G92:G121" si="19">IF(F92="","India",F92)</f>
        <v>USA</v>
      </c>
      <c r="H92">
        <v>72939</v>
      </c>
      <c r="I92" s="7">
        <f t="shared" si="17"/>
        <v>72939</v>
      </c>
      <c r="J92" s="2">
        <v>42680</v>
      </c>
      <c r="K92" s="6">
        <f t="shared" ref="K92:K121" si="20">IF(J92="","N/A",J92)</f>
        <v>42680</v>
      </c>
      <c r="L92">
        <v>3</v>
      </c>
      <c r="M92" s="5">
        <f t="shared" si="15"/>
        <v>3</v>
      </c>
      <c r="O92" t="str">
        <f t="shared" ref="O92:O121" si="21">IF(N92="","Female",N92)</f>
        <v>Female</v>
      </c>
      <c r="P92" t="s">
        <v>255</v>
      </c>
    </row>
    <row r="93" spans="1:16" x14ac:dyDescent="0.3">
      <c r="A93" t="s">
        <v>106</v>
      </c>
      <c r="B93" t="s">
        <v>163</v>
      </c>
      <c r="C93" t="str">
        <f t="shared" si="18"/>
        <v>Sam Wilson</v>
      </c>
      <c r="D93" t="s">
        <v>167</v>
      </c>
      <c r="E93" t="str">
        <f t="shared" si="12"/>
        <v>HR</v>
      </c>
      <c r="F93" t="s">
        <v>172</v>
      </c>
      <c r="G93" t="str">
        <f t="shared" si="19"/>
        <v>Germany</v>
      </c>
      <c r="H93">
        <v>89333</v>
      </c>
      <c r="I93" s="7">
        <f t="shared" si="17"/>
        <v>89333</v>
      </c>
      <c r="J93" s="2">
        <v>42687</v>
      </c>
      <c r="K93" s="6">
        <f t="shared" si="20"/>
        <v>42687</v>
      </c>
      <c r="L93">
        <v>1</v>
      </c>
      <c r="M93" s="5">
        <f t="shared" si="15"/>
        <v>1</v>
      </c>
      <c r="N93" t="s">
        <v>180</v>
      </c>
      <c r="O93" t="str">
        <f t="shared" si="21"/>
        <v>Male</v>
      </c>
      <c r="P93" t="s">
        <v>256</v>
      </c>
    </row>
    <row r="94" spans="1:16" x14ac:dyDescent="0.3">
      <c r="A94" t="s">
        <v>107</v>
      </c>
      <c r="B94" t="s">
        <v>165</v>
      </c>
      <c r="C94" t="str">
        <f t="shared" si="18"/>
        <v>Bob Johnson</v>
      </c>
      <c r="D94" t="s">
        <v>169</v>
      </c>
      <c r="E94" t="str">
        <f t="shared" si="12"/>
        <v>IT</v>
      </c>
      <c r="F94" t="s">
        <v>176</v>
      </c>
      <c r="G94" t="str">
        <f t="shared" si="19"/>
        <v>Australia</v>
      </c>
      <c r="H94">
        <v>70470</v>
      </c>
      <c r="I94" s="7">
        <f t="shared" si="17"/>
        <v>70470</v>
      </c>
      <c r="J94" s="2">
        <v>42694</v>
      </c>
      <c r="K94" s="6">
        <f t="shared" si="20"/>
        <v>42694</v>
      </c>
      <c r="M94" s="5">
        <f t="shared" si="15"/>
        <v>2</v>
      </c>
      <c r="N94" t="s">
        <v>180</v>
      </c>
      <c r="O94" t="str">
        <f t="shared" si="21"/>
        <v>Male</v>
      </c>
      <c r="P94" t="s">
        <v>257</v>
      </c>
    </row>
    <row r="95" spans="1:16" x14ac:dyDescent="0.3">
      <c r="A95" t="s">
        <v>108</v>
      </c>
      <c r="B95" t="s">
        <v>159</v>
      </c>
      <c r="C95" t="str">
        <f t="shared" si="18"/>
        <v>Eve Adams</v>
      </c>
      <c r="D95" t="s">
        <v>170</v>
      </c>
      <c r="E95" t="str">
        <f t="shared" si="12"/>
        <v>Marketing</v>
      </c>
      <c r="F95" t="s">
        <v>173</v>
      </c>
      <c r="G95" t="str">
        <f t="shared" si="19"/>
        <v>USA</v>
      </c>
      <c r="H95">
        <v>70096</v>
      </c>
      <c r="I95" s="7">
        <f t="shared" si="17"/>
        <v>70096</v>
      </c>
      <c r="J95" s="2">
        <v>42701</v>
      </c>
      <c r="K95" s="6">
        <f t="shared" si="20"/>
        <v>42701</v>
      </c>
      <c r="L95">
        <v>4</v>
      </c>
      <c r="M95" s="5">
        <f t="shared" si="15"/>
        <v>4</v>
      </c>
      <c r="N95" t="s">
        <v>180</v>
      </c>
      <c r="O95" t="str">
        <f t="shared" si="21"/>
        <v>Male</v>
      </c>
      <c r="P95" t="s">
        <v>258</v>
      </c>
    </row>
    <row r="96" spans="1:16" x14ac:dyDescent="0.3">
      <c r="A96" t="s">
        <v>109</v>
      </c>
      <c r="B96" t="s">
        <v>165</v>
      </c>
      <c r="C96" t="str">
        <f t="shared" si="18"/>
        <v>Bob Johnson</v>
      </c>
      <c r="D96" t="s">
        <v>170</v>
      </c>
      <c r="E96" t="str">
        <f t="shared" si="12"/>
        <v>Marketing</v>
      </c>
      <c r="G96" t="str">
        <f t="shared" si="19"/>
        <v>India</v>
      </c>
      <c r="H96" t="s">
        <v>177</v>
      </c>
      <c r="I96" s="7">
        <f t="shared" si="17"/>
        <v>65221.958333333336</v>
      </c>
      <c r="J96" s="2">
        <v>42708</v>
      </c>
      <c r="K96" s="6">
        <f t="shared" si="20"/>
        <v>42708</v>
      </c>
      <c r="L96">
        <v>2</v>
      </c>
      <c r="M96" s="5">
        <f t="shared" si="15"/>
        <v>2</v>
      </c>
      <c r="N96" t="s">
        <v>179</v>
      </c>
      <c r="O96" t="str">
        <f t="shared" si="21"/>
        <v>Other</v>
      </c>
      <c r="P96" t="s">
        <v>259</v>
      </c>
    </row>
    <row r="97" spans="1:16" x14ac:dyDescent="0.3">
      <c r="A97" t="s">
        <v>110</v>
      </c>
      <c r="B97" t="s">
        <v>165</v>
      </c>
      <c r="C97" t="str">
        <f t="shared" si="18"/>
        <v>Bob Johnson</v>
      </c>
      <c r="D97" t="s">
        <v>169</v>
      </c>
      <c r="E97" t="str">
        <f t="shared" si="12"/>
        <v>IT</v>
      </c>
      <c r="F97" t="s">
        <v>172</v>
      </c>
      <c r="G97" t="str">
        <f t="shared" si="19"/>
        <v>Germany</v>
      </c>
      <c r="H97">
        <v>66503</v>
      </c>
      <c r="I97" s="7">
        <f t="shared" si="17"/>
        <v>66503</v>
      </c>
      <c r="J97" s="2">
        <v>42715</v>
      </c>
      <c r="K97" s="6">
        <f t="shared" si="20"/>
        <v>42715</v>
      </c>
      <c r="M97" s="5">
        <f t="shared" si="15"/>
        <v>2</v>
      </c>
      <c r="N97" t="s">
        <v>180</v>
      </c>
      <c r="O97" t="str">
        <f t="shared" si="21"/>
        <v>Male</v>
      </c>
      <c r="P97" t="s">
        <v>200</v>
      </c>
    </row>
    <row r="98" spans="1:16" x14ac:dyDescent="0.3">
      <c r="A98" t="s">
        <v>111</v>
      </c>
      <c r="B98" t="s">
        <v>160</v>
      </c>
      <c r="C98" t="str">
        <f t="shared" si="18"/>
        <v>Alice Brown</v>
      </c>
      <c r="D98" t="s">
        <v>167</v>
      </c>
      <c r="E98" t="str">
        <f t="shared" si="12"/>
        <v>HR</v>
      </c>
      <c r="F98" t="s">
        <v>172</v>
      </c>
      <c r="G98" t="str">
        <f t="shared" si="19"/>
        <v>Germany</v>
      </c>
      <c r="H98">
        <v>42096</v>
      </c>
      <c r="I98" s="7">
        <f t="shared" si="17"/>
        <v>42096</v>
      </c>
      <c r="J98" s="2">
        <v>42722</v>
      </c>
      <c r="K98" s="6">
        <f t="shared" si="20"/>
        <v>42722</v>
      </c>
      <c r="M98" s="5">
        <f t="shared" si="15"/>
        <v>2</v>
      </c>
      <c r="N98" t="s">
        <v>181</v>
      </c>
      <c r="O98" t="str">
        <f t="shared" si="21"/>
        <v>Female</v>
      </c>
      <c r="P98" t="s">
        <v>260</v>
      </c>
    </row>
    <row r="99" spans="1:16" x14ac:dyDescent="0.3">
      <c r="A99" t="s">
        <v>112</v>
      </c>
      <c r="B99" t="s">
        <v>160</v>
      </c>
      <c r="C99" t="str">
        <f t="shared" si="18"/>
        <v>Alice Brown</v>
      </c>
      <c r="D99" t="s">
        <v>170</v>
      </c>
      <c r="E99" t="str">
        <f t="shared" si="12"/>
        <v>Marketing</v>
      </c>
      <c r="G99" t="str">
        <f t="shared" si="19"/>
        <v>India</v>
      </c>
      <c r="H99">
        <v>79145</v>
      </c>
      <c r="I99" s="7">
        <f t="shared" si="17"/>
        <v>79145</v>
      </c>
      <c r="J99" s="2">
        <v>42729</v>
      </c>
      <c r="K99" s="6">
        <f t="shared" si="20"/>
        <v>42729</v>
      </c>
      <c r="L99">
        <v>5</v>
      </c>
      <c r="M99" s="5">
        <f t="shared" si="15"/>
        <v>5</v>
      </c>
      <c r="N99" t="s">
        <v>179</v>
      </c>
      <c r="O99" t="str">
        <f t="shared" si="21"/>
        <v>Other</v>
      </c>
      <c r="P99" t="s">
        <v>223</v>
      </c>
    </row>
    <row r="100" spans="1:16" x14ac:dyDescent="0.3">
      <c r="A100" t="s">
        <v>113</v>
      </c>
      <c r="B100" t="s">
        <v>162</v>
      </c>
      <c r="C100" t="str">
        <f t="shared" si="18"/>
        <v>Jane Smith</v>
      </c>
      <c r="E100" t="str">
        <f t="shared" si="12"/>
        <v>Marketing</v>
      </c>
      <c r="F100" t="s">
        <v>176</v>
      </c>
      <c r="G100" t="str">
        <f t="shared" si="19"/>
        <v>Australia</v>
      </c>
      <c r="H100">
        <v>61556</v>
      </c>
      <c r="I100" s="7">
        <f t="shared" si="17"/>
        <v>61556</v>
      </c>
      <c r="J100" s="2">
        <v>42736</v>
      </c>
      <c r="K100" s="6">
        <f t="shared" si="20"/>
        <v>42736</v>
      </c>
      <c r="L100">
        <v>1</v>
      </c>
      <c r="M100" s="5">
        <f t="shared" si="15"/>
        <v>1</v>
      </c>
      <c r="O100" t="str">
        <f t="shared" si="21"/>
        <v>Female</v>
      </c>
      <c r="P100" t="s">
        <v>259</v>
      </c>
    </row>
    <row r="101" spans="1:16" x14ac:dyDescent="0.3">
      <c r="A101" t="s">
        <v>114</v>
      </c>
      <c r="C101" t="str">
        <f t="shared" si="18"/>
        <v>Unknown</v>
      </c>
      <c r="D101" t="s">
        <v>167</v>
      </c>
      <c r="E101" t="str">
        <f t="shared" si="12"/>
        <v>HR</v>
      </c>
      <c r="F101" t="s">
        <v>175</v>
      </c>
      <c r="G101" t="str">
        <f t="shared" si="19"/>
        <v>UK</v>
      </c>
      <c r="H101">
        <v>87963</v>
      </c>
      <c r="I101" s="7">
        <f t="shared" si="17"/>
        <v>87963</v>
      </c>
      <c r="J101" s="2">
        <v>42743</v>
      </c>
      <c r="K101" s="6">
        <f t="shared" si="20"/>
        <v>42743</v>
      </c>
      <c r="L101">
        <v>3</v>
      </c>
      <c r="M101" s="5">
        <f t="shared" si="15"/>
        <v>3</v>
      </c>
      <c r="N101" t="s">
        <v>179</v>
      </c>
      <c r="O101" t="str">
        <f t="shared" si="21"/>
        <v>Other</v>
      </c>
      <c r="P101" t="s">
        <v>182</v>
      </c>
    </row>
    <row r="102" spans="1:16" x14ac:dyDescent="0.3">
      <c r="A102" t="s">
        <v>115</v>
      </c>
      <c r="B102" t="s">
        <v>159</v>
      </c>
      <c r="C102" t="str">
        <f t="shared" si="18"/>
        <v>Eve Adams</v>
      </c>
      <c r="D102" t="s">
        <v>169</v>
      </c>
      <c r="E102" t="str">
        <f t="shared" si="12"/>
        <v>IT</v>
      </c>
      <c r="G102" t="str">
        <f t="shared" si="19"/>
        <v>India</v>
      </c>
      <c r="H102">
        <v>48325</v>
      </c>
      <c r="I102" s="7">
        <f t="shared" si="17"/>
        <v>48325</v>
      </c>
      <c r="J102" s="2">
        <v>42750</v>
      </c>
      <c r="K102" s="6">
        <f t="shared" si="20"/>
        <v>42750</v>
      </c>
      <c r="M102" s="5">
        <f t="shared" si="15"/>
        <v>2</v>
      </c>
      <c r="N102" t="s">
        <v>180</v>
      </c>
      <c r="O102" t="str">
        <f t="shared" si="21"/>
        <v>Male</v>
      </c>
      <c r="P102" t="s">
        <v>261</v>
      </c>
    </row>
    <row r="103" spans="1:16" x14ac:dyDescent="0.3">
      <c r="A103" t="s">
        <v>116</v>
      </c>
      <c r="B103" t="s">
        <v>163</v>
      </c>
      <c r="C103" t="str">
        <f t="shared" si="18"/>
        <v>Sam Wilson</v>
      </c>
      <c r="D103" t="s">
        <v>170</v>
      </c>
      <c r="E103" t="str">
        <f t="shared" si="12"/>
        <v>Marketing</v>
      </c>
      <c r="F103" t="s">
        <v>176</v>
      </c>
      <c r="G103" t="str">
        <f t="shared" si="19"/>
        <v>Australia</v>
      </c>
      <c r="H103">
        <v>86412</v>
      </c>
      <c r="I103" s="7">
        <f t="shared" si="17"/>
        <v>86412</v>
      </c>
      <c r="J103" s="2">
        <v>42757</v>
      </c>
      <c r="K103" s="6">
        <f t="shared" si="20"/>
        <v>42757</v>
      </c>
      <c r="L103">
        <v>2</v>
      </c>
      <c r="M103" s="5">
        <f t="shared" si="15"/>
        <v>2</v>
      </c>
      <c r="N103" t="s">
        <v>181</v>
      </c>
      <c r="O103" t="str">
        <f t="shared" si="21"/>
        <v>Female</v>
      </c>
      <c r="P103" t="s">
        <v>202</v>
      </c>
    </row>
    <row r="104" spans="1:16" x14ac:dyDescent="0.3">
      <c r="A104" t="s">
        <v>117</v>
      </c>
      <c r="B104" t="s">
        <v>163</v>
      </c>
      <c r="C104" t="str">
        <f t="shared" si="18"/>
        <v>Sam Wilson</v>
      </c>
      <c r="D104" t="s">
        <v>167</v>
      </c>
      <c r="E104" t="str">
        <f t="shared" si="12"/>
        <v>HR</v>
      </c>
      <c r="G104" t="str">
        <f t="shared" si="19"/>
        <v>India</v>
      </c>
      <c r="H104">
        <v>66761</v>
      </c>
      <c r="I104" s="7">
        <f t="shared" si="17"/>
        <v>66761</v>
      </c>
      <c r="J104" s="2">
        <v>42764</v>
      </c>
      <c r="K104" s="6">
        <f t="shared" si="20"/>
        <v>42764</v>
      </c>
      <c r="L104">
        <v>1</v>
      </c>
      <c r="M104" s="5">
        <f t="shared" si="15"/>
        <v>1</v>
      </c>
      <c r="O104" t="str">
        <f t="shared" si="21"/>
        <v>Female</v>
      </c>
      <c r="P104" t="s">
        <v>262</v>
      </c>
    </row>
    <row r="105" spans="1:16" x14ac:dyDescent="0.3">
      <c r="A105" t="s">
        <v>118</v>
      </c>
      <c r="B105" t="s">
        <v>162</v>
      </c>
      <c r="C105" t="str">
        <f t="shared" si="18"/>
        <v>Jane Smith</v>
      </c>
      <c r="E105" t="str">
        <f t="shared" si="12"/>
        <v>Marketing</v>
      </c>
      <c r="F105" t="s">
        <v>174</v>
      </c>
      <c r="G105" t="str">
        <f t="shared" si="19"/>
        <v>India</v>
      </c>
      <c r="H105">
        <v>88850</v>
      </c>
      <c r="I105" s="7">
        <f t="shared" si="17"/>
        <v>88850</v>
      </c>
      <c r="J105" s="2">
        <v>42771</v>
      </c>
      <c r="K105" s="6">
        <f t="shared" si="20"/>
        <v>42771</v>
      </c>
      <c r="L105">
        <v>1</v>
      </c>
      <c r="M105" s="5">
        <f t="shared" si="15"/>
        <v>1</v>
      </c>
      <c r="N105" t="s">
        <v>181</v>
      </c>
      <c r="O105" t="str">
        <f t="shared" si="21"/>
        <v>Female</v>
      </c>
      <c r="P105" t="s">
        <v>263</v>
      </c>
    </row>
    <row r="106" spans="1:16" x14ac:dyDescent="0.3">
      <c r="A106" t="s">
        <v>120</v>
      </c>
      <c r="B106" t="s">
        <v>164</v>
      </c>
      <c r="C106" t="str">
        <f t="shared" si="18"/>
        <v>Chris Lee</v>
      </c>
      <c r="D106" t="s">
        <v>169</v>
      </c>
      <c r="E106" t="str">
        <f t="shared" si="12"/>
        <v>IT</v>
      </c>
      <c r="F106" t="s">
        <v>173</v>
      </c>
      <c r="G106" t="str">
        <f t="shared" si="19"/>
        <v>USA</v>
      </c>
      <c r="H106">
        <v>34306</v>
      </c>
      <c r="I106" s="7">
        <f t="shared" si="17"/>
        <v>34306</v>
      </c>
      <c r="J106" s="2">
        <v>42785</v>
      </c>
      <c r="K106" s="6">
        <f t="shared" si="20"/>
        <v>42785</v>
      </c>
      <c r="L106">
        <v>5</v>
      </c>
      <c r="M106" s="5">
        <f t="shared" si="15"/>
        <v>5</v>
      </c>
      <c r="N106" t="s">
        <v>181</v>
      </c>
      <c r="O106" t="str">
        <f t="shared" si="21"/>
        <v>Female</v>
      </c>
      <c r="P106" t="s">
        <v>239</v>
      </c>
    </row>
    <row r="107" spans="1:16" x14ac:dyDescent="0.3">
      <c r="A107" t="s">
        <v>121</v>
      </c>
      <c r="B107" t="s">
        <v>159</v>
      </c>
      <c r="C107" t="str">
        <f t="shared" si="18"/>
        <v>Eve Adams</v>
      </c>
      <c r="D107" t="s">
        <v>166</v>
      </c>
      <c r="E107" t="str">
        <f t="shared" si="12"/>
        <v>Finance</v>
      </c>
      <c r="F107" t="s">
        <v>174</v>
      </c>
      <c r="G107" t="str">
        <f t="shared" si="19"/>
        <v>India</v>
      </c>
      <c r="H107">
        <v>78330</v>
      </c>
      <c r="I107" s="7">
        <f t="shared" si="17"/>
        <v>78330</v>
      </c>
      <c r="J107" s="2">
        <v>42792</v>
      </c>
      <c r="K107" s="6">
        <f t="shared" si="20"/>
        <v>42792</v>
      </c>
      <c r="M107" s="5">
        <f t="shared" si="15"/>
        <v>2</v>
      </c>
      <c r="N107" t="s">
        <v>179</v>
      </c>
      <c r="O107" t="str">
        <f t="shared" si="21"/>
        <v>Other</v>
      </c>
      <c r="P107" t="s">
        <v>258</v>
      </c>
    </row>
    <row r="108" spans="1:16" x14ac:dyDescent="0.3">
      <c r="A108" t="s">
        <v>122</v>
      </c>
      <c r="B108" t="s">
        <v>160</v>
      </c>
      <c r="C108" t="str">
        <f t="shared" si="18"/>
        <v>Alice Brown</v>
      </c>
      <c r="D108" t="s">
        <v>169</v>
      </c>
      <c r="E108" t="str">
        <f t="shared" si="12"/>
        <v>IT</v>
      </c>
      <c r="F108" t="s">
        <v>173</v>
      </c>
      <c r="G108" t="str">
        <f t="shared" si="19"/>
        <v>USA</v>
      </c>
      <c r="H108">
        <v>47653</v>
      </c>
      <c r="I108" s="7">
        <f t="shared" si="17"/>
        <v>47653</v>
      </c>
      <c r="J108" s="2">
        <v>42799</v>
      </c>
      <c r="K108" s="6">
        <f t="shared" si="20"/>
        <v>42799</v>
      </c>
      <c r="L108">
        <v>1</v>
      </c>
      <c r="M108" s="5">
        <f t="shared" si="15"/>
        <v>1</v>
      </c>
      <c r="N108" t="s">
        <v>180</v>
      </c>
      <c r="O108" t="str">
        <f t="shared" si="21"/>
        <v>Male</v>
      </c>
      <c r="P108" t="s">
        <v>265</v>
      </c>
    </row>
    <row r="109" spans="1:16" x14ac:dyDescent="0.3">
      <c r="A109" t="s">
        <v>123</v>
      </c>
      <c r="B109" t="s">
        <v>159</v>
      </c>
      <c r="C109" t="str">
        <f t="shared" si="18"/>
        <v>Eve Adams</v>
      </c>
      <c r="D109" t="s">
        <v>170</v>
      </c>
      <c r="E109" t="str">
        <f t="shared" si="12"/>
        <v>Marketing</v>
      </c>
      <c r="F109" t="s">
        <v>175</v>
      </c>
      <c r="G109" t="str">
        <f t="shared" si="19"/>
        <v>UK</v>
      </c>
      <c r="H109">
        <v>44627</v>
      </c>
      <c r="I109" s="7">
        <f t="shared" si="17"/>
        <v>44627</v>
      </c>
      <c r="J109" s="2">
        <v>42806</v>
      </c>
      <c r="K109" s="6">
        <f t="shared" si="20"/>
        <v>42806</v>
      </c>
      <c r="L109">
        <v>4</v>
      </c>
      <c r="M109" s="5">
        <f t="shared" si="15"/>
        <v>4</v>
      </c>
      <c r="O109" t="str">
        <f t="shared" si="21"/>
        <v>Female</v>
      </c>
      <c r="P109" t="s">
        <v>235</v>
      </c>
    </row>
    <row r="110" spans="1:16" x14ac:dyDescent="0.3">
      <c r="A110" t="s">
        <v>124</v>
      </c>
      <c r="B110" t="s">
        <v>165</v>
      </c>
      <c r="C110" t="str">
        <f t="shared" si="18"/>
        <v>Bob Johnson</v>
      </c>
      <c r="D110" t="s">
        <v>167</v>
      </c>
      <c r="E110" t="str">
        <f t="shared" si="12"/>
        <v>HR</v>
      </c>
      <c r="F110" t="s">
        <v>172</v>
      </c>
      <c r="G110" t="str">
        <f t="shared" si="19"/>
        <v>Germany</v>
      </c>
      <c r="H110">
        <v>92343</v>
      </c>
      <c r="I110" s="7">
        <f t="shared" si="17"/>
        <v>92343</v>
      </c>
      <c r="J110" s="2">
        <v>42813</v>
      </c>
      <c r="K110" s="6">
        <f t="shared" si="20"/>
        <v>42813</v>
      </c>
      <c r="L110">
        <v>4</v>
      </c>
      <c r="M110" s="5">
        <f t="shared" si="15"/>
        <v>4</v>
      </c>
      <c r="N110" t="s">
        <v>181</v>
      </c>
      <c r="O110" t="str">
        <f t="shared" si="21"/>
        <v>Female</v>
      </c>
      <c r="P110" t="s">
        <v>203</v>
      </c>
    </row>
    <row r="111" spans="1:16" x14ac:dyDescent="0.3">
      <c r="A111" t="s">
        <v>125</v>
      </c>
      <c r="B111" t="s">
        <v>165</v>
      </c>
      <c r="C111" t="str">
        <f t="shared" si="18"/>
        <v>Bob Johnson</v>
      </c>
      <c r="D111" t="s">
        <v>170</v>
      </c>
      <c r="E111" t="str">
        <f t="shared" si="12"/>
        <v>Marketing</v>
      </c>
      <c r="F111" t="s">
        <v>176</v>
      </c>
      <c r="G111" t="str">
        <f t="shared" si="19"/>
        <v>Australia</v>
      </c>
      <c r="H111">
        <v>38837</v>
      </c>
      <c r="I111" s="7">
        <f t="shared" si="17"/>
        <v>38837</v>
      </c>
      <c r="J111" s="2">
        <v>42820</v>
      </c>
      <c r="K111" s="6">
        <f t="shared" si="20"/>
        <v>42820</v>
      </c>
      <c r="L111">
        <v>5</v>
      </c>
      <c r="M111" s="5">
        <f t="shared" si="15"/>
        <v>5</v>
      </c>
      <c r="N111" t="s">
        <v>181</v>
      </c>
      <c r="O111" t="str">
        <f t="shared" si="21"/>
        <v>Female</v>
      </c>
      <c r="P111" t="s">
        <v>239</v>
      </c>
    </row>
    <row r="112" spans="1:16" x14ac:dyDescent="0.3">
      <c r="A112" t="s">
        <v>126</v>
      </c>
      <c r="B112" t="s">
        <v>165</v>
      </c>
      <c r="C112" t="str">
        <f t="shared" si="18"/>
        <v>Bob Johnson</v>
      </c>
      <c r="D112" t="s">
        <v>170</v>
      </c>
      <c r="E112" t="str">
        <f t="shared" si="12"/>
        <v>Marketing</v>
      </c>
      <c r="G112" t="str">
        <f t="shared" si="19"/>
        <v>India</v>
      </c>
      <c r="H112">
        <v>73483</v>
      </c>
      <c r="I112" s="7">
        <f t="shared" si="17"/>
        <v>73483</v>
      </c>
      <c r="J112" s="2">
        <v>42827</v>
      </c>
      <c r="K112" s="6">
        <f t="shared" si="20"/>
        <v>42827</v>
      </c>
      <c r="L112">
        <v>1</v>
      </c>
      <c r="M112" s="5">
        <f t="shared" si="15"/>
        <v>1</v>
      </c>
      <c r="O112" t="str">
        <f t="shared" si="21"/>
        <v>Female</v>
      </c>
      <c r="P112" t="s">
        <v>266</v>
      </c>
    </row>
    <row r="113" spans="1:16" x14ac:dyDescent="0.3">
      <c r="A113" t="s">
        <v>127</v>
      </c>
      <c r="B113" t="s">
        <v>164</v>
      </c>
      <c r="C113" t="str">
        <f t="shared" si="18"/>
        <v>Chris Lee</v>
      </c>
      <c r="D113" t="s">
        <v>168</v>
      </c>
      <c r="E113" t="str">
        <f t="shared" si="12"/>
        <v>Sales</v>
      </c>
      <c r="F113" t="s">
        <v>174</v>
      </c>
      <c r="G113" t="str">
        <f t="shared" si="19"/>
        <v>India</v>
      </c>
      <c r="H113">
        <v>95032</v>
      </c>
      <c r="I113" s="7">
        <f t="shared" si="17"/>
        <v>95032</v>
      </c>
      <c r="J113" s="2">
        <v>42834</v>
      </c>
      <c r="K113" s="6">
        <f t="shared" si="20"/>
        <v>42834</v>
      </c>
      <c r="L113">
        <v>3</v>
      </c>
      <c r="M113" s="5">
        <f t="shared" si="15"/>
        <v>3</v>
      </c>
      <c r="O113" t="str">
        <f t="shared" si="21"/>
        <v>Female</v>
      </c>
      <c r="P113" t="s">
        <v>267</v>
      </c>
    </row>
    <row r="114" spans="1:16" x14ac:dyDescent="0.3">
      <c r="A114" t="s">
        <v>128</v>
      </c>
      <c r="B114" t="s">
        <v>159</v>
      </c>
      <c r="C114" t="str">
        <f t="shared" si="18"/>
        <v>Eve Adams</v>
      </c>
      <c r="D114" t="s">
        <v>168</v>
      </c>
      <c r="E114" t="str">
        <f t="shared" si="12"/>
        <v>Sales</v>
      </c>
      <c r="F114" t="s">
        <v>176</v>
      </c>
      <c r="G114" t="str">
        <f t="shared" si="19"/>
        <v>Australia</v>
      </c>
      <c r="H114">
        <v>44358</v>
      </c>
      <c r="I114" s="7">
        <f t="shared" si="17"/>
        <v>44358</v>
      </c>
      <c r="J114" s="2">
        <v>42841</v>
      </c>
      <c r="K114" s="6">
        <f t="shared" si="20"/>
        <v>42841</v>
      </c>
      <c r="M114" s="5">
        <f t="shared" si="15"/>
        <v>2</v>
      </c>
      <c r="N114" t="s">
        <v>181</v>
      </c>
      <c r="O114" t="str">
        <f t="shared" si="21"/>
        <v>Female</v>
      </c>
      <c r="P114" t="s">
        <v>200</v>
      </c>
    </row>
    <row r="115" spans="1:16" x14ac:dyDescent="0.3">
      <c r="A115" t="s">
        <v>130</v>
      </c>
      <c r="B115" t="s">
        <v>164</v>
      </c>
      <c r="C115" t="str">
        <f t="shared" si="18"/>
        <v>Chris Lee</v>
      </c>
      <c r="D115" t="s">
        <v>168</v>
      </c>
      <c r="E115" t="str">
        <f t="shared" si="12"/>
        <v>Sales</v>
      </c>
      <c r="F115" t="s">
        <v>173</v>
      </c>
      <c r="G115" t="str">
        <f t="shared" si="19"/>
        <v>USA</v>
      </c>
      <c r="H115">
        <v>45676</v>
      </c>
      <c r="I115" s="7">
        <f t="shared" si="17"/>
        <v>45676</v>
      </c>
      <c r="J115" s="2">
        <v>42855</v>
      </c>
      <c r="K115" s="6">
        <f t="shared" si="20"/>
        <v>42855</v>
      </c>
      <c r="L115">
        <v>2</v>
      </c>
      <c r="M115" s="5">
        <f t="shared" si="15"/>
        <v>2</v>
      </c>
      <c r="O115" t="str">
        <f t="shared" si="21"/>
        <v>Female</v>
      </c>
      <c r="P115" t="s">
        <v>269</v>
      </c>
    </row>
    <row r="116" spans="1:16" x14ac:dyDescent="0.3">
      <c r="A116" t="s">
        <v>131</v>
      </c>
      <c r="B116" t="s">
        <v>165</v>
      </c>
      <c r="C116" t="str">
        <f t="shared" si="18"/>
        <v>Bob Johnson</v>
      </c>
      <c r="D116" t="s">
        <v>168</v>
      </c>
      <c r="E116" t="str">
        <f t="shared" si="12"/>
        <v>Sales</v>
      </c>
      <c r="F116" t="s">
        <v>172</v>
      </c>
      <c r="G116" t="str">
        <f t="shared" si="19"/>
        <v>Germany</v>
      </c>
      <c r="H116">
        <v>52036</v>
      </c>
      <c r="I116" s="7">
        <f t="shared" si="17"/>
        <v>52036</v>
      </c>
      <c r="J116" s="2">
        <v>42862</v>
      </c>
      <c r="K116" s="6">
        <f t="shared" si="20"/>
        <v>42862</v>
      </c>
      <c r="L116">
        <v>3</v>
      </c>
      <c r="M116" s="5">
        <f t="shared" si="15"/>
        <v>3</v>
      </c>
      <c r="N116" t="s">
        <v>180</v>
      </c>
      <c r="O116" t="str">
        <f t="shared" si="21"/>
        <v>Male</v>
      </c>
      <c r="P116" t="s">
        <v>270</v>
      </c>
    </row>
    <row r="117" spans="1:16" x14ac:dyDescent="0.3">
      <c r="A117" t="s">
        <v>132</v>
      </c>
      <c r="B117" t="s">
        <v>162</v>
      </c>
      <c r="C117" t="str">
        <f t="shared" si="18"/>
        <v>Jane Smith</v>
      </c>
      <c r="E117" t="str">
        <f t="shared" si="12"/>
        <v>Marketing</v>
      </c>
      <c r="F117" t="s">
        <v>172</v>
      </c>
      <c r="G117" t="str">
        <f t="shared" si="19"/>
        <v>Germany</v>
      </c>
      <c r="H117">
        <v>30357</v>
      </c>
      <c r="I117" s="7">
        <f t="shared" si="17"/>
        <v>30357</v>
      </c>
      <c r="J117" s="2">
        <v>42869</v>
      </c>
      <c r="K117" s="6">
        <f t="shared" si="20"/>
        <v>42869</v>
      </c>
      <c r="L117">
        <v>5</v>
      </c>
      <c r="M117" s="5">
        <f t="shared" si="15"/>
        <v>5</v>
      </c>
      <c r="N117" t="s">
        <v>180</v>
      </c>
      <c r="O117" t="str">
        <f t="shared" si="21"/>
        <v>Male</v>
      </c>
      <c r="P117" t="s">
        <v>248</v>
      </c>
    </row>
    <row r="118" spans="1:16" x14ac:dyDescent="0.3">
      <c r="A118" t="s">
        <v>133</v>
      </c>
      <c r="B118" t="s">
        <v>161</v>
      </c>
      <c r="C118" t="str">
        <f t="shared" si="18"/>
        <v>John Doe</v>
      </c>
      <c r="D118" t="s">
        <v>169</v>
      </c>
      <c r="E118" t="str">
        <f t="shared" si="12"/>
        <v>IT</v>
      </c>
      <c r="G118" t="str">
        <f t="shared" si="19"/>
        <v>India</v>
      </c>
      <c r="H118">
        <v>60034</v>
      </c>
      <c r="I118" s="7">
        <f t="shared" si="17"/>
        <v>60034</v>
      </c>
      <c r="J118" s="2">
        <v>42876</v>
      </c>
      <c r="K118" s="6">
        <f t="shared" si="20"/>
        <v>42876</v>
      </c>
      <c r="L118">
        <v>1</v>
      </c>
      <c r="M118" s="5">
        <f t="shared" si="15"/>
        <v>1</v>
      </c>
      <c r="N118" t="s">
        <v>181</v>
      </c>
      <c r="O118" t="str">
        <f t="shared" si="21"/>
        <v>Female</v>
      </c>
      <c r="P118" t="s">
        <v>271</v>
      </c>
    </row>
    <row r="119" spans="1:16" x14ac:dyDescent="0.3">
      <c r="A119" t="s">
        <v>134</v>
      </c>
      <c r="B119" t="s">
        <v>161</v>
      </c>
      <c r="C119" t="str">
        <f t="shared" si="18"/>
        <v>John Doe</v>
      </c>
      <c r="D119" t="s">
        <v>166</v>
      </c>
      <c r="E119" t="str">
        <f t="shared" si="12"/>
        <v>Finance</v>
      </c>
      <c r="G119" t="str">
        <f t="shared" si="19"/>
        <v>India</v>
      </c>
      <c r="H119">
        <v>90019</v>
      </c>
      <c r="I119" s="7">
        <f t="shared" si="17"/>
        <v>90019</v>
      </c>
      <c r="J119" s="2">
        <v>42883</v>
      </c>
      <c r="K119" s="6">
        <f t="shared" si="20"/>
        <v>42883</v>
      </c>
      <c r="L119">
        <v>5</v>
      </c>
      <c r="M119" s="5">
        <f t="shared" si="15"/>
        <v>5</v>
      </c>
      <c r="O119" t="str">
        <f t="shared" si="21"/>
        <v>Female</v>
      </c>
      <c r="P119" t="s">
        <v>272</v>
      </c>
    </row>
    <row r="120" spans="1:16" x14ac:dyDescent="0.3">
      <c r="A120" t="s">
        <v>135</v>
      </c>
      <c r="B120" t="s">
        <v>165</v>
      </c>
      <c r="C120" t="str">
        <f t="shared" si="18"/>
        <v>Bob Johnson</v>
      </c>
      <c r="E120" t="str">
        <f t="shared" si="12"/>
        <v>Marketing</v>
      </c>
      <c r="F120" t="s">
        <v>172</v>
      </c>
      <c r="G120" t="str">
        <f t="shared" si="19"/>
        <v>Germany</v>
      </c>
      <c r="H120">
        <v>71494</v>
      </c>
      <c r="I120" s="7">
        <f t="shared" si="17"/>
        <v>71494</v>
      </c>
      <c r="J120" s="2">
        <v>42890</v>
      </c>
      <c r="K120" s="6">
        <f t="shared" si="20"/>
        <v>42890</v>
      </c>
      <c r="L120">
        <v>3</v>
      </c>
      <c r="M120" s="5">
        <f t="shared" si="15"/>
        <v>3</v>
      </c>
      <c r="N120" t="s">
        <v>180</v>
      </c>
      <c r="O120" t="str">
        <f t="shared" si="21"/>
        <v>Male</v>
      </c>
      <c r="P120" t="s">
        <v>273</v>
      </c>
    </row>
    <row r="121" spans="1:16" x14ac:dyDescent="0.3">
      <c r="A121" t="s">
        <v>136</v>
      </c>
      <c r="B121" t="s">
        <v>161</v>
      </c>
      <c r="C121" t="str">
        <f t="shared" si="18"/>
        <v>John Doe</v>
      </c>
      <c r="D121" t="s">
        <v>166</v>
      </c>
      <c r="E121" t="str">
        <f t="shared" si="12"/>
        <v>Finance</v>
      </c>
      <c r="F121" t="s">
        <v>173</v>
      </c>
      <c r="G121" t="str">
        <f t="shared" si="19"/>
        <v>USA</v>
      </c>
      <c r="H121">
        <v>91953</v>
      </c>
      <c r="I121" s="7">
        <f t="shared" si="17"/>
        <v>91953</v>
      </c>
      <c r="J121" s="2">
        <v>42897</v>
      </c>
      <c r="K121" s="6">
        <f t="shared" si="20"/>
        <v>42897</v>
      </c>
      <c r="L121">
        <v>2</v>
      </c>
      <c r="M121" s="5">
        <f t="shared" si="15"/>
        <v>2</v>
      </c>
      <c r="N121" t="s">
        <v>180</v>
      </c>
      <c r="O121" t="str">
        <f t="shared" si="21"/>
        <v>Male</v>
      </c>
      <c r="P121" t="s">
        <v>209</v>
      </c>
    </row>
    <row r="122" spans="1:16" x14ac:dyDescent="0.3">
      <c r="A122" t="s">
        <v>137</v>
      </c>
      <c r="B122" t="s">
        <v>164</v>
      </c>
      <c r="C122" t="str">
        <f t="shared" ref="C122:C142" si="22">IF(B122="","Unknown",B122)</f>
        <v>Chris Lee</v>
      </c>
      <c r="D122" t="s">
        <v>168</v>
      </c>
      <c r="E122" t="str">
        <f t="shared" ref="E122:E142" si="23">IF(D122="","Marketing",D122)</f>
        <v>Sales</v>
      </c>
      <c r="F122" t="s">
        <v>173</v>
      </c>
      <c r="G122" t="str">
        <f t="shared" ref="G122:G142" si="24">IF(F122="","India",F122)</f>
        <v>USA</v>
      </c>
      <c r="H122">
        <v>30402</v>
      </c>
      <c r="I122" s="7">
        <f t="shared" si="17"/>
        <v>30402</v>
      </c>
      <c r="J122" s="2">
        <v>42904</v>
      </c>
      <c r="K122" s="6">
        <f t="shared" ref="K122:K142" si="25">IF(J122="","N/A",J122)</f>
        <v>42904</v>
      </c>
      <c r="L122">
        <v>1</v>
      </c>
      <c r="M122" s="5">
        <f t="shared" ref="M122:M142" si="26">IF(L122="",2,L122)</f>
        <v>1</v>
      </c>
      <c r="O122" t="str">
        <f t="shared" ref="O122:O142" si="27">IF(N122="","Female",N122)</f>
        <v>Female</v>
      </c>
      <c r="P122" t="s">
        <v>274</v>
      </c>
    </row>
    <row r="123" spans="1:16" x14ac:dyDescent="0.3">
      <c r="A123" t="s">
        <v>138</v>
      </c>
      <c r="B123" t="s">
        <v>165</v>
      </c>
      <c r="C123" t="str">
        <f t="shared" si="22"/>
        <v>Bob Johnson</v>
      </c>
      <c r="E123" t="str">
        <f t="shared" si="23"/>
        <v>Marketing</v>
      </c>
      <c r="F123" t="s">
        <v>175</v>
      </c>
      <c r="G123" t="str">
        <f t="shared" si="24"/>
        <v>UK</v>
      </c>
      <c r="H123">
        <v>62994</v>
      </c>
      <c r="I123" s="7">
        <f t="shared" si="17"/>
        <v>62994</v>
      </c>
      <c r="J123" s="2">
        <v>42911</v>
      </c>
      <c r="K123" s="6">
        <f t="shared" si="25"/>
        <v>42911</v>
      </c>
      <c r="M123" s="5">
        <f t="shared" si="26"/>
        <v>2</v>
      </c>
      <c r="O123" t="str">
        <f t="shared" si="27"/>
        <v>Female</v>
      </c>
      <c r="P123" t="s">
        <v>221</v>
      </c>
    </row>
    <row r="124" spans="1:16" x14ac:dyDescent="0.3">
      <c r="A124" t="s">
        <v>140</v>
      </c>
      <c r="B124" t="s">
        <v>163</v>
      </c>
      <c r="C124" t="str">
        <f t="shared" si="22"/>
        <v>Sam Wilson</v>
      </c>
      <c r="D124" t="s">
        <v>170</v>
      </c>
      <c r="E124" t="str">
        <f t="shared" si="23"/>
        <v>Marketing</v>
      </c>
      <c r="F124" t="s">
        <v>172</v>
      </c>
      <c r="G124" t="str">
        <f t="shared" si="24"/>
        <v>Germany</v>
      </c>
      <c r="H124">
        <v>34402</v>
      </c>
      <c r="I124" s="7">
        <f t="shared" si="17"/>
        <v>34402</v>
      </c>
      <c r="J124" s="2">
        <v>42925</v>
      </c>
      <c r="K124" s="6">
        <f t="shared" si="25"/>
        <v>42925</v>
      </c>
      <c r="L124">
        <v>3</v>
      </c>
      <c r="M124" s="5">
        <f t="shared" si="26"/>
        <v>3</v>
      </c>
      <c r="N124" t="s">
        <v>179</v>
      </c>
      <c r="O124" t="str">
        <f t="shared" si="27"/>
        <v>Other</v>
      </c>
      <c r="P124" t="s">
        <v>218</v>
      </c>
    </row>
    <row r="125" spans="1:16" x14ac:dyDescent="0.3">
      <c r="A125" t="s">
        <v>141</v>
      </c>
      <c r="B125" t="s">
        <v>159</v>
      </c>
      <c r="C125" t="str">
        <f t="shared" si="22"/>
        <v>Eve Adams</v>
      </c>
      <c r="D125" t="s">
        <v>167</v>
      </c>
      <c r="E125" t="str">
        <f t="shared" si="23"/>
        <v>HR</v>
      </c>
      <c r="F125" t="s">
        <v>173</v>
      </c>
      <c r="G125" t="str">
        <f t="shared" si="24"/>
        <v>USA</v>
      </c>
      <c r="H125">
        <v>38678</v>
      </c>
      <c r="I125" s="7">
        <f t="shared" si="17"/>
        <v>38678</v>
      </c>
      <c r="J125" s="2">
        <v>42932</v>
      </c>
      <c r="K125" s="6">
        <f t="shared" si="25"/>
        <v>42932</v>
      </c>
      <c r="L125">
        <v>3</v>
      </c>
      <c r="M125" s="5">
        <f t="shared" si="26"/>
        <v>3</v>
      </c>
      <c r="N125" t="s">
        <v>179</v>
      </c>
      <c r="O125" t="str">
        <f t="shared" si="27"/>
        <v>Other</v>
      </c>
      <c r="P125" t="s">
        <v>275</v>
      </c>
    </row>
    <row r="126" spans="1:16" x14ac:dyDescent="0.3">
      <c r="A126" t="s">
        <v>142</v>
      </c>
      <c r="B126" t="s">
        <v>164</v>
      </c>
      <c r="C126" t="str">
        <f t="shared" si="22"/>
        <v>Chris Lee</v>
      </c>
      <c r="D126" t="s">
        <v>167</v>
      </c>
      <c r="E126" t="str">
        <f t="shared" si="23"/>
        <v>HR</v>
      </c>
      <c r="F126" t="s">
        <v>172</v>
      </c>
      <c r="G126" t="str">
        <f t="shared" si="24"/>
        <v>Germany</v>
      </c>
      <c r="H126">
        <v>45758</v>
      </c>
      <c r="I126" s="7">
        <f t="shared" si="17"/>
        <v>45758</v>
      </c>
      <c r="J126" s="2">
        <v>42939</v>
      </c>
      <c r="K126" s="6">
        <f t="shared" si="25"/>
        <v>42939</v>
      </c>
      <c r="L126">
        <v>3</v>
      </c>
      <c r="M126" s="5">
        <f t="shared" si="26"/>
        <v>3</v>
      </c>
      <c r="O126" t="str">
        <f t="shared" si="27"/>
        <v>Female</v>
      </c>
      <c r="P126" t="s">
        <v>264</v>
      </c>
    </row>
    <row r="127" spans="1:16" x14ac:dyDescent="0.3">
      <c r="A127" t="s">
        <v>143</v>
      </c>
      <c r="B127" t="s">
        <v>159</v>
      </c>
      <c r="C127" t="str">
        <f t="shared" si="22"/>
        <v>Eve Adams</v>
      </c>
      <c r="D127" t="s">
        <v>170</v>
      </c>
      <c r="E127" t="str">
        <f t="shared" si="23"/>
        <v>Marketing</v>
      </c>
      <c r="F127" t="s">
        <v>174</v>
      </c>
      <c r="G127" t="str">
        <f t="shared" si="24"/>
        <v>India</v>
      </c>
      <c r="H127">
        <v>62476</v>
      </c>
      <c r="I127" s="7">
        <f t="shared" si="17"/>
        <v>62476</v>
      </c>
      <c r="J127" s="2">
        <v>42946</v>
      </c>
      <c r="K127" s="6">
        <f t="shared" si="25"/>
        <v>42946</v>
      </c>
      <c r="L127">
        <v>1</v>
      </c>
      <c r="M127" s="5">
        <f t="shared" si="26"/>
        <v>1</v>
      </c>
      <c r="N127" t="s">
        <v>179</v>
      </c>
      <c r="O127" t="str">
        <f t="shared" si="27"/>
        <v>Other</v>
      </c>
      <c r="P127" t="s">
        <v>231</v>
      </c>
    </row>
    <row r="128" spans="1:16" x14ac:dyDescent="0.3">
      <c r="A128" t="s">
        <v>144</v>
      </c>
      <c r="C128" t="str">
        <f t="shared" si="22"/>
        <v>Unknown</v>
      </c>
      <c r="D128" t="s">
        <v>169</v>
      </c>
      <c r="E128" t="str">
        <f t="shared" si="23"/>
        <v>IT</v>
      </c>
      <c r="F128" t="s">
        <v>175</v>
      </c>
      <c r="G128" t="str">
        <f t="shared" si="24"/>
        <v>UK</v>
      </c>
      <c r="H128">
        <v>39280</v>
      </c>
      <c r="I128" s="7">
        <f t="shared" si="17"/>
        <v>39280</v>
      </c>
      <c r="J128" s="2">
        <v>42953</v>
      </c>
      <c r="K128" s="6">
        <f t="shared" si="25"/>
        <v>42953</v>
      </c>
      <c r="L128">
        <v>3</v>
      </c>
      <c r="M128" s="5">
        <f t="shared" si="26"/>
        <v>3</v>
      </c>
      <c r="N128" t="s">
        <v>181</v>
      </c>
      <c r="O128" t="str">
        <f t="shared" si="27"/>
        <v>Female</v>
      </c>
      <c r="P128" t="s">
        <v>214</v>
      </c>
    </row>
    <row r="129" spans="1:16" x14ac:dyDescent="0.3">
      <c r="A129" t="s">
        <v>145</v>
      </c>
      <c r="B129" t="s">
        <v>162</v>
      </c>
      <c r="C129" t="str">
        <f t="shared" si="22"/>
        <v>Jane Smith</v>
      </c>
      <c r="D129" t="s">
        <v>166</v>
      </c>
      <c r="E129" t="str">
        <f t="shared" si="23"/>
        <v>Finance</v>
      </c>
      <c r="F129" t="s">
        <v>174</v>
      </c>
      <c r="G129" t="str">
        <f t="shared" si="24"/>
        <v>India</v>
      </c>
      <c r="H129">
        <v>60335</v>
      </c>
      <c r="I129" s="7">
        <f t="shared" si="17"/>
        <v>60335</v>
      </c>
      <c r="J129" s="2">
        <v>42960</v>
      </c>
      <c r="K129" s="6">
        <f t="shared" si="25"/>
        <v>42960</v>
      </c>
      <c r="L129">
        <v>4</v>
      </c>
      <c r="M129" s="5">
        <f t="shared" si="26"/>
        <v>4</v>
      </c>
      <c r="N129" t="s">
        <v>179</v>
      </c>
      <c r="O129" t="str">
        <f t="shared" si="27"/>
        <v>Other</v>
      </c>
      <c r="P129" t="s">
        <v>227</v>
      </c>
    </row>
    <row r="130" spans="1:16" x14ac:dyDescent="0.3">
      <c r="A130" t="s">
        <v>146</v>
      </c>
      <c r="B130" t="s">
        <v>164</v>
      </c>
      <c r="C130" t="str">
        <f t="shared" si="22"/>
        <v>Chris Lee</v>
      </c>
      <c r="D130" t="s">
        <v>167</v>
      </c>
      <c r="E130" t="str">
        <f t="shared" si="23"/>
        <v>HR</v>
      </c>
      <c r="F130" t="s">
        <v>172</v>
      </c>
      <c r="G130" t="str">
        <f t="shared" si="24"/>
        <v>Germany</v>
      </c>
      <c r="H130">
        <v>84968</v>
      </c>
      <c r="I130" s="7">
        <f t="shared" si="17"/>
        <v>84968</v>
      </c>
      <c r="J130" s="2">
        <v>42967</v>
      </c>
      <c r="K130" s="6">
        <f t="shared" si="25"/>
        <v>42967</v>
      </c>
      <c r="M130" s="5">
        <f t="shared" si="26"/>
        <v>2</v>
      </c>
      <c r="O130" t="str">
        <f t="shared" si="27"/>
        <v>Female</v>
      </c>
      <c r="P130" t="s">
        <v>276</v>
      </c>
    </row>
    <row r="131" spans="1:16" x14ac:dyDescent="0.3">
      <c r="A131" t="s">
        <v>147</v>
      </c>
      <c r="B131" t="s">
        <v>164</v>
      </c>
      <c r="C131" t="str">
        <f t="shared" si="22"/>
        <v>Chris Lee</v>
      </c>
      <c r="D131" t="s">
        <v>170</v>
      </c>
      <c r="E131" t="str">
        <f t="shared" si="23"/>
        <v>Marketing</v>
      </c>
      <c r="F131" t="s">
        <v>176</v>
      </c>
      <c r="G131" t="str">
        <f t="shared" si="24"/>
        <v>Australia</v>
      </c>
      <c r="H131">
        <v>84750</v>
      </c>
      <c r="I131" s="7">
        <f t="shared" ref="I131:I142" si="28">IF(H131="N/A",AVERAGEIF($E$2:$E$142,E131,$H$2:$H$142),H131)</f>
        <v>84750</v>
      </c>
      <c r="J131" s="2">
        <v>42974</v>
      </c>
      <c r="K131" s="6">
        <f t="shared" si="25"/>
        <v>42974</v>
      </c>
      <c r="L131">
        <v>4</v>
      </c>
      <c r="M131" s="5">
        <f t="shared" si="26"/>
        <v>4</v>
      </c>
      <c r="N131" t="s">
        <v>181</v>
      </c>
      <c r="O131" t="str">
        <f t="shared" si="27"/>
        <v>Female</v>
      </c>
      <c r="P131" t="s">
        <v>195</v>
      </c>
    </row>
    <row r="132" spans="1:16" x14ac:dyDescent="0.3">
      <c r="A132" t="s">
        <v>148</v>
      </c>
      <c r="B132" t="s">
        <v>165</v>
      </c>
      <c r="C132" t="str">
        <f t="shared" si="22"/>
        <v>Bob Johnson</v>
      </c>
      <c r="D132" t="s">
        <v>169</v>
      </c>
      <c r="E132" t="str">
        <f t="shared" si="23"/>
        <v>IT</v>
      </c>
      <c r="G132" t="str">
        <f t="shared" si="24"/>
        <v>India</v>
      </c>
      <c r="H132">
        <v>73348</v>
      </c>
      <c r="I132" s="7">
        <f t="shared" si="28"/>
        <v>73348</v>
      </c>
      <c r="J132" s="2">
        <v>42981</v>
      </c>
      <c r="K132" s="6">
        <f t="shared" si="25"/>
        <v>42981</v>
      </c>
      <c r="L132">
        <v>2</v>
      </c>
      <c r="M132" s="5">
        <f t="shared" si="26"/>
        <v>2</v>
      </c>
      <c r="O132" t="str">
        <f t="shared" si="27"/>
        <v>Female</v>
      </c>
      <c r="P132" t="s">
        <v>243</v>
      </c>
    </row>
    <row r="133" spans="1:16" x14ac:dyDescent="0.3">
      <c r="A133" t="s">
        <v>149</v>
      </c>
      <c r="B133" t="s">
        <v>164</v>
      </c>
      <c r="C133" t="str">
        <f t="shared" si="22"/>
        <v>Chris Lee</v>
      </c>
      <c r="D133" t="s">
        <v>168</v>
      </c>
      <c r="E133" t="str">
        <f t="shared" si="23"/>
        <v>Sales</v>
      </c>
      <c r="F133" t="s">
        <v>173</v>
      </c>
      <c r="G133" t="str">
        <f t="shared" si="24"/>
        <v>USA</v>
      </c>
      <c r="H133" t="s">
        <v>177</v>
      </c>
      <c r="I133" s="7">
        <f t="shared" si="28"/>
        <v>70375.869565217392</v>
      </c>
      <c r="J133" s="2">
        <v>42988</v>
      </c>
      <c r="K133" s="6">
        <f t="shared" si="25"/>
        <v>42988</v>
      </c>
      <c r="L133">
        <v>4</v>
      </c>
      <c r="M133" s="5">
        <f t="shared" si="26"/>
        <v>4</v>
      </c>
      <c r="N133" t="s">
        <v>179</v>
      </c>
      <c r="O133" t="str">
        <f t="shared" si="27"/>
        <v>Other</v>
      </c>
      <c r="P133" t="s">
        <v>182</v>
      </c>
    </row>
    <row r="134" spans="1:16" x14ac:dyDescent="0.3">
      <c r="A134" t="s">
        <v>150</v>
      </c>
      <c r="B134" t="s">
        <v>162</v>
      </c>
      <c r="C134" t="str">
        <f t="shared" si="22"/>
        <v>Jane Smith</v>
      </c>
      <c r="D134" t="s">
        <v>170</v>
      </c>
      <c r="E134" t="str">
        <f t="shared" si="23"/>
        <v>Marketing</v>
      </c>
      <c r="F134" t="s">
        <v>173</v>
      </c>
      <c r="G134" t="str">
        <f t="shared" si="24"/>
        <v>USA</v>
      </c>
      <c r="H134">
        <v>66882</v>
      </c>
      <c r="I134" s="7">
        <f t="shared" si="28"/>
        <v>66882</v>
      </c>
      <c r="J134" s="2">
        <v>42995</v>
      </c>
      <c r="K134" s="6">
        <f t="shared" si="25"/>
        <v>42995</v>
      </c>
      <c r="L134">
        <v>5</v>
      </c>
      <c r="M134" s="5">
        <f t="shared" si="26"/>
        <v>5</v>
      </c>
      <c r="N134" t="s">
        <v>179</v>
      </c>
      <c r="O134" t="str">
        <f t="shared" si="27"/>
        <v>Other</v>
      </c>
      <c r="P134" t="s">
        <v>207</v>
      </c>
    </row>
    <row r="135" spans="1:16" x14ac:dyDescent="0.3">
      <c r="A135" t="s">
        <v>151</v>
      </c>
      <c r="B135" t="s">
        <v>160</v>
      </c>
      <c r="C135" t="str">
        <f t="shared" si="22"/>
        <v>Alice Brown</v>
      </c>
      <c r="D135" t="s">
        <v>170</v>
      </c>
      <c r="E135" t="str">
        <f t="shared" si="23"/>
        <v>Marketing</v>
      </c>
      <c r="G135" t="str">
        <f t="shared" si="24"/>
        <v>India</v>
      </c>
      <c r="H135">
        <v>86775</v>
      </c>
      <c r="I135" s="7">
        <f t="shared" si="28"/>
        <v>86775</v>
      </c>
      <c r="J135" s="2">
        <v>43002</v>
      </c>
      <c r="K135" s="6">
        <f t="shared" si="25"/>
        <v>43002</v>
      </c>
      <c r="L135">
        <v>3</v>
      </c>
      <c r="M135" s="5">
        <f t="shared" si="26"/>
        <v>3</v>
      </c>
      <c r="N135" t="s">
        <v>179</v>
      </c>
      <c r="O135" t="str">
        <f t="shared" si="27"/>
        <v>Other</v>
      </c>
      <c r="P135" t="s">
        <v>212</v>
      </c>
    </row>
    <row r="136" spans="1:16" x14ac:dyDescent="0.3">
      <c r="A136" t="s">
        <v>152</v>
      </c>
      <c r="B136" t="s">
        <v>164</v>
      </c>
      <c r="C136" t="str">
        <f t="shared" si="22"/>
        <v>Chris Lee</v>
      </c>
      <c r="D136" t="s">
        <v>168</v>
      </c>
      <c r="E136" t="str">
        <f t="shared" si="23"/>
        <v>Sales</v>
      </c>
      <c r="F136" t="s">
        <v>175</v>
      </c>
      <c r="G136" t="str">
        <f t="shared" si="24"/>
        <v>UK</v>
      </c>
      <c r="H136">
        <v>91620</v>
      </c>
      <c r="I136" s="7">
        <f t="shared" si="28"/>
        <v>91620</v>
      </c>
      <c r="J136" s="2">
        <v>43009</v>
      </c>
      <c r="K136" s="6">
        <f t="shared" si="25"/>
        <v>43009</v>
      </c>
      <c r="M136" s="5">
        <f t="shared" si="26"/>
        <v>2</v>
      </c>
      <c r="O136" t="str">
        <f t="shared" si="27"/>
        <v>Female</v>
      </c>
      <c r="P136" t="s">
        <v>277</v>
      </c>
    </row>
    <row r="137" spans="1:16" x14ac:dyDescent="0.3">
      <c r="A137" t="s">
        <v>153</v>
      </c>
      <c r="B137" t="s">
        <v>159</v>
      </c>
      <c r="C137" t="str">
        <f t="shared" si="22"/>
        <v>Eve Adams</v>
      </c>
      <c r="E137" t="str">
        <f t="shared" si="23"/>
        <v>Marketing</v>
      </c>
      <c r="G137" t="str">
        <f t="shared" si="24"/>
        <v>India</v>
      </c>
      <c r="H137">
        <v>94148</v>
      </c>
      <c r="I137" s="7">
        <f t="shared" si="28"/>
        <v>94148</v>
      </c>
      <c r="J137" s="2">
        <v>43016</v>
      </c>
      <c r="K137" s="6">
        <f t="shared" si="25"/>
        <v>43016</v>
      </c>
      <c r="L137">
        <v>2</v>
      </c>
      <c r="M137" s="5">
        <f t="shared" si="26"/>
        <v>2</v>
      </c>
      <c r="O137" t="str">
        <f t="shared" si="27"/>
        <v>Female</v>
      </c>
      <c r="P137" t="s">
        <v>278</v>
      </c>
    </row>
    <row r="138" spans="1:16" x14ac:dyDescent="0.3">
      <c r="A138" t="s">
        <v>154</v>
      </c>
      <c r="B138" t="s">
        <v>163</v>
      </c>
      <c r="C138" t="str">
        <f t="shared" si="22"/>
        <v>Sam Wilson</v>
      </c>
      <c r="D138" t="s">
        <v>168</v>
      </c>
      <c r="E138" t="str">
        <f t="shared" si="23"/>
        <v>Sales</v>
      </c>
      <c r="F138" t="s">
        <v>176</v>
      </c>
      <c r="G138" t="str">
        <f t="shared" si="24"/>
        <v>Australia</v>
      </c>
      <c r="H138">
        <v>35627</v>
      </c>
      <c r="I138" s="7">
        <f t="shared" si="28"/>
        <v>35627</v>
      </c>
      <c r="J138" s="2">
        <v>43023</v>
      </c>
      <c r="K138" s="6">
        <f t="shared" si="25"/>
        <v>43023</v>
      </c>
      <c r="L138">
        <v>5</v>
      </c>
      <c r="M138" s="5">
        <f t="shared" si="26"/>
        <v>5</v>
      </c>
      <c r="N138" t="s">
        <v>181</v>
      </c>
      <c r="O138" t="str">
        <f t="shared" si="27"/>
        <v>Female</v>
      </c>
      <c r="P138" t="s">
        <v>275</v>
      </c>
    </row>
    <row r="139" spans="1:16" x14ac:dyDescent="0.3">
      <c r="A139" t="s">
        <v>155</v>
      </c>
      <c r="B139" t="s">
        <v>161</v>
      </c>
      <c r="C139" t="str">
        <f t="shared" si="22"/>
        <v>John Doe</v>
      </c>
      <c r="D139" t="s">
        <v>170</v>
      </c>
      <c r="E139" t="str">
        <f t="shared" si="23"/>
        <v>Marketing</v>
      </c>
      <c r="F139" t="s">
        <v>173</v>
      </c>
      <c r="G139" t="str">
        <f t="shared" si="24"/>
        <v>USA</v>
      </c>
      <c r="H139">
        <v>57141</v>
      </c>
      <c r="I139" s="7">
        <f t="shared" si="28"/>
        <v>57141</v>
      </c>
      <c r="J139" s="2">
        <v>43030</v>
      </c>
      <c r="K139" s="6">
        <f t="shared" si="25"/>
        <v>43030</v>
      </c>
      <c r="L139">
        <v>2</v>
      </c>
      <c r="M139" s="5">
        <f t="shared" si="26"/>
        <v>2</v>
      </c>
      <c r="O139" t="str">
        <f t="shared" si="27"/>
        <v>Female</v>
      </c>
      <c r="P139" t="s">
        <v>276</v>
      </c>
    </row>
    <row r="140" spans="1:16" x14ac:dyDescent="0.3">
      <c r="A140" t="s">
        <v>156</v>
      </c>
      <c r="B140" t="s">
        <v>165</v>
      </c>
      <c r="C140" t="str">
        <f t="shared" si="22"/>
        <v>Bob Johnson</v>
      </c>
      <c r="D140" t="s">
        <v>168</v>
      </c>
      <c r="E140" t="str">
        <f t="shared" si="23"/>
        <v>Sales</v>
      </c>
      <c r="F140" t="s">
        <v>176</v>
      </c>
      <c r="G140" t="str">
        <f t="shared" si="24"/>
        <v>Australia</v>
      </c>
      <c r="H140">
        <v>65270</v>
      </c>
      <c r="I140" s="7">
        <f t="shared" si="28"/>
        <v>65270</v>
      </c>
      <c r="J140" s="2">
        <v>43037</v>
      </c>
      <c r="K140" s="6">
        <f t="shared" si="25"/>
        <v>43037</v>
      </c>
      <c r="L140">
        <v>1</v>
      </c>
      <c r="M140" s="5">
        <f t="shared" si="26"/>
        <v>1</v>
      </c>
      <c r="O140" t="str">
        <f t="shared" si="27"/>
        <v>Female</v>
      </c>
      <c r="P140" t="s">
        <v>279</v>
      </c>
    </row>
    <row r="141" spans="1:16" x14ac:dyDescent="0.3">
      <c r="A141" t="s">
        <v>157</v>
      </c>
      <c r="B141" t="s">
        <v>165</v>
      </c>
      <c r="C141" t="str">
        <f t="shared" si="22"/>
        <v>Bob Johnson</v>
      </c>
      <c r="E141" t="str">
        <f t="shared" si="23"/>
        <v>Marketing</v>
      </c>
      <c r="F141" t="s">
        <v>175</v>
      </c>
      <c r="G141" t="str">
        <f t="shared" si="24"/>
        <v>UK</v>
      </c>
      <c r="H141">
        <v>67335</v>
      </c>
      <c r="I141" s="7">
        <f t="shared" si="28"/>
        <v>67335</v>
      </c>
      <c r="J141" s="2">
        <v>43044</v>
      </c>
      <c r="K141" s="6">
        <f t="shared" si="25"/>
        <v>43044</v>
      </c>
      <c r="L141">
        <v>1</v>
      </c>
      <c r="M141" s="5">
        <f t="shared" si="26"/>
        <v>1</v>
      </c>
      <c r="N141" t="s">
        <v>179</v>
      </c>
      <c r="O141" t="str">
        <f t="shared" si="27"/>
        <v>Other</v>
      </c>
      <c r="P141" t="s">
        <v>233</v>
      </c>
    </row>
    <row r="142" spans="1:16" x14ac:dyDescent="0.3">
      <c r="A142" t="s">
        <v>158</v>
      </c>
      <c r="B142" t="s">
        <v>163</v>
      </c>
      <c r="C142" t="str">
        <f t="shared" si="22"/>
        <v>Sam Wilson</v>
      </c>
      <c r="D142" t="s">
        <v>170</v>
      </c>
      <c r="E142" t="str">
        <f t="shared" si="23"/>
        <v>Marketing</v>
      </c>
      <c r="F142" t="s">
        <v>174</v>
      </c>
      <c r="G142" t="str">
        <f t="shared" si="24"/>
        <v>India</v>
      </c>
      <c r="H142">
        <v>98475</v>
      </c>
      <c r="I142" s="7">
        <f t="shared" si="28"/>
        <v>98475</v>
      </c>
      <c r="J142" s="2">
        <v>43051</v>
      </c>
      <c r="K142" s="6">
        <f t="shared" si="25"/>
        <v>43051</v>
      </c>
      <c r="L142">
        <v>5</v>
      </c>
      <c r="M142" s="5">
        <f t="shared" si="26"/>
        <v>5</v>
      </c>
      <c r="N142" t="s">
        <v>179</v>
      </c>
      <c r="O142" t="str">
        <f t="shared" si="27"/>
        <v>Other</v>
      </c>
      <c r="P142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5523-6F09-46CB-942B-454937241A2A}">
  <dimension ref="A1:I142"/>
  <sheetViews>
    <sheetView tabSelected="1" workbookViewId="0">
      <selection activeCell="H21" sqref="H21"/>
    </sheetView>
  </sheetViews>
  <sheetFormatPr defaultRowHeight="14.4" x14ac:dyDescent="0.3"/>
  <cols>
    <col min="1" max="1" width="15.88671875" bestFit="1" customWidth="1"/>
    <col min="2" max="2" width="12.88671875" customWidth="1"/>
    <col min="3" max="3" width="15.5546875" bestFit="1" customWidth="1"/>
    <col min="4" max="4" width="12.21875" bestFit="1" customWidth="1"/>
    <col min="5" max="5" width="10.5546875" bestFit="1" customWidth="1"/>
    <col min="6" max="6" width="18.21875" bestFit="1" customWidth="1"/>
    <col min="7" max="7" width="21.88671875" customWidth="1"/>
    <col min="8" max="8" width="14.88671875" customWidth="1"/>
    <col min="9" max="9" width="25.5546875" customWidth="1"/>
  </cols>
  <sheetData>
    <row r="1" spans="1:9" s="10" customFormat="1" x14ac:dyDescent="0.3">
      <c r="A1" s="10" t="s">
        <v>288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289</v>
      </c>
      <c r="G1" s="10" t="s">
        <v>6</v>
      </c>
      <c r="H1" s="10" t="s">
        <v>7</v>
      </c>
      <c r="I1" s="10" t="s">
        <v>8</v>
      </c>
    </row>
    <row r="2" spans="1:9" x14ac:dyDescent="0.3">
      <c r="A2" s="8" t="s">
        <v>10</v>
      </c>
      <c r="B2" t="str">
        <f>VLOOKUP(A2,'Data Cleaning'!$A$2:$P$142,3,FALSE)</f>
        <v>Eve Adams</v>
      </c>
      <c r="C2" t="str">
        <f>VLOOKUP(A2,'Data Cleaning'!$A$2:$P$142,5,FALSE)</f>
        <v>HR</v>
      </c>
      <c r="D2" t="str">
        <f>VLOOKUP(A2,'Data Cleaning'!$A$2:$P$142,7,FALSE)</f>
        <v>Germany</v>
      </c>
      <c r="E2" s="7">
        <f>VLOOKUP(A2,'Data Cleaning'!$A$2:$P$142,9,FALSE)</f>
        <v>54255</v>
      </c>
      <c r="F2" s="6">
        <f>VLOOKUP(A2,'Data Cleaning'!$A$2:$P$142,11,FALSE)</f>
        <v>42015</v>
      </c>
      <c r="G2" s="5">
        <f>VLOOKUP(A2,'Data Cleaning'!$A$2:$P$142,13,FALSE)</f>
        <v>1</v>
      </c>
      <c r="H2" t="str">
        <f>VLOOKUP(A2,'Data Cleaning'!$A$2:$P$142,15,FALSE)</f>
        <v>Other</v>
      </c>
      <c r="I2" t="str">
        <f>VLOOKUP(A2,'Data Cleaning'!$A$2:$P$142,16,FALSE)</f>
        <v>user106@example.com</v>
      </c>
    </row>
    <row r="3" spans="1:9" x14ac:dyDescent="0.3">
      <c r="A3" s="9" t="s">
        <v>11</v>
      </c>
      <c r="B3" t="str">
        <f>VLOOKUP(A3,'Data Cleaning'!$A$2:$P$142,3,FALSE)</f>
        <v>Alice Brown</v>
      </c>
      <c r="C3" t="str">
        <f>VLOOKUP(A3,'Data Cleaning'!$A$2:$P$142,5,FALSE)</f>
        <v>Finance</v>
      </c>
      <c r="D3" t="str">
        <f>VLOOKUP(A3,'Data Cleaning'!$A$2:$P$142,7,FALSE)</f>
        <v>Germany</v>
      </c>
      <c r="E3" s="7">
        <f>VLOOKUP(A3,'Data Cleaning'!$A$2:$P$142,9,FALSE)</f>
        <v>63184</v>
      </c>
      <c r="F3" s="6">
        <f>VLOOKUP(A3,'Data Cleaning'!$A$2:$P$142,11,FALSE)</f>
        <v>42022</v>
      </c>
      <c r="G3" s="5">
        <f>VLOOKUP(A3,'Data Cleaning'!$A$2:$P$142,13,FALSE)</f>
        <v>2</v>
      </c>
      <c r="H3" t="str">
        <f>VLOOKUP(A3,'Data Cleaning'!$A$2:$P$142,15,FALSE)</f>
        <v>Female</v>
      </c>
      <c r="I3" t="str">
        <f>VLOOKUP(A3,'Data Cleaning'!$A$2:$P$142,16,FALSE)</f>
        <v>user176@example.com</v>
      </c>
    </row>
    <row r="4" spans="1:9" x14ac:dyDescent="0.3">
      <c r="A4" s="8" t="s">
        <v>12</v>
      </c>
      <c r="B4" t="str">
        <f>VLOOKUP(A4,'Data Cleaning'!$A$2:$P$142,3,FALSE)</f>
        <v>John Doe</v>
      </c>
      <c r="C4" t="str">
        <f>VLOOKUP(A4,'Data Cleaning'!$A$2:$P$142,5,FALSE)</f>
        <v>Sales</v>
      </c>
      <c r="D4" t="str">
        <f>VLOOKUP(A4,'Data Cleaning'!$A$2:$P$142,7,FALSE)</f>
        <v>USA</v>
      </c>
      <c r="E4" s="7">
        <f>VLOOKUP(A4,'Data Cleaning'!$A$2:$P$142,9,FALSE)</f>
        <v>94406</v>
      </c>
      <c r="F4" s="6">
        <f>VLOOKUP(A4,'Data Cleaning'!$A$2:$P$142,11,FALSE)</f>
        <v>42029</v>
      </c>
      <c r="G4" s="5">
        <f>VLOOKUP(A4,'Data Cleaning'!$A$2:$P$142,13,FALSE)</f>
        <v>1</v>
      </c>
      <c r="H4" t="str">
        <f>VLOOKUP(A4,'Data Cleaning'!$A$2:$P$142,15,FALSE)</f>
        <v>Male</v>
      </c>
      <c r="I4" t="str">
        <f>VLOOKUP(A4,'Data Cleaning'!$A$2:$P$142,16,FALSE)</f>
        <v>user168@example.com</v>
      </c>
    </row>
    <row r="5" spans="1:9" x14ac:dyDescent="0.3">
      <c r="A5" s="9" t="s">
        <v>13</v>
      </c>
      <c r="B5" t="str">
        <f>VLOOKUP(A5,'Data Cleaning'!$A$2:$P$142,3,FALSE)</f>
        <v>Jane Smith</v>
      </c>
      <c r="C5" t="str">
        <f>VLOOKUP(A5,'Data Cleaning'!$A$2:$P$142,5,FALSE)</f>
        <v>Sales</v>
      </c>
      <c r="D5" t="str">
        <f>VLOOKUP(A5,'Data Cleaning'!$A$2:$P$142,7,FALSE)</f>
        <v>Germany</v>
      </c>
      <c r="E5" s="7">
        <f>VLOOKUP(A5,'Data Cleaning'!$A$2:$P$142,9,FALSE)</f>
        <v>64120</v>
      </c>
      <c r="F5" s="6">
        <f>VLOOKUP(A5,'Data Cleaning'!$A$2:$P$142,11,FALSE)</f>
        <v>42036</v>
      </c>
      <c r="G5" s="5">
        <f>VLOOKUP(A5,'Data Cleaning'!$A$2:$P$142,13,FALSE)</f>
        <v>1</v>
      </c>
      <c r="H5" t="str">
        <f>VLOOKUP(A5,'Data Cleaning'!$A$2:$P$142,15,FALSE)</f>
        <v>Male</v>
      </c>
      <c r="I5" t="str">
        <f>VLOOKUP(A5,'Data Cleaning'!$A$2:$P$142,16,FALSE)</f>
        <v>user49@example.com</v>
      </c>
    </row>
    <row r="6" spans="1:9" x14ac:dyDescent="0.3">
      <c r="A6" s="8" t="s">
        <v>14</v>
      </c>
      <c r="B6" t="str">
        <f>VLOOKUP(A6,'Data Cleaning'!$A$2:$P$142,3,FALSE)</f>
        <v>Alice Brown</v>
      </c>
      <c r="C6" t="str">
        <f>VLOOKUP(A6,'Data Cleaning'!$A$2:$P$142,5,FALSE)</f>
        <v>IT</v>
      </c>
      <c r="D6" t="str">
        <f>VLOOKUP(A6,'Data Cleaning'!$A$2:$P$142,7,FALSE)</f>
        <v>India</v>
      </c>
      <c r="E6" s="7">
        <f>VLOOKUP(A6,'Data Cleaning'!$A$2:$P$142,9,FALSE)</f>
        <v>78421</v>
      </c>
      <c r="F6" s="6">
        <f>VLOOKUP(A6,'Data Cleaning'!$A$2:$P$142,11,FALSE)</f>
        <v>42043</v>
      </c>
      <c r="G6" s="5">
        <f>VLOOKUP(A6,'Data Cleaning'!$A$2:$P$142,13,FALSE)</f>
        <v>2</v>
      </c>
      <c r="H6" t="str">
        <f>VLOOKUP(A6,'Data Cleaning'!$A$2:$P$142,15,FALSE)</f>
        <v>Female</v>
      </c>
      <c r="I6" t="str">
        <f>VLOOKUP(A6,'Data Cleaning'!$A$2:$P$142,16,FALSE)</f>
        <v>user24@example.com</v>
      </c>
    </row>
    <row r="7" spans="1:9" x14ac:dyDescent="0.3">
      <c r="A7" s="9" t="s">
        <v>15</v>
      </c>
      <c r="B7" t="str">
        <f>VLOOKUP(A7,'Data Cleaning'!$A$2:$P$142,3,FALSE)</f>
        <v>Sam Wilson</v>
      </c>
      <c r="C7" t="str">
        <f>VLOOKUP(A7,'Data Cleaning'!$A$2:$P$142,5,FALSE)</f>
        <v>Sales</v>
      </c>
      <c r="D7" t="str">
        <f>VLOOKUP(A7,'Data Cleaning'!$A$2:$P$142,7,FALSE)</f>
        <v>India</v>
      </c>
      <c r="E7" s="7">
        <f>VLOOKUP(A7,'Data Cleaning'!$A$2:$P$142,9,FALSE)</f>
        <v>67721</v>
      </c>
      <c r="F7" s="6">
        <f>VLOOKUP(A7,'Data Cleaning'!$A$2:$P$142,11,FALSE)</f>
        <v>42050</v>
      </c>
      <c r="G7" s="5">
        <f>VLOOKUP(A7,'Data Cleaning'!$A$2:$P$142,13,FALSE)</f>
        <v>2</v>
      </c>
      <c r="H7" t="str">
        <f>VLOOKUP(A7,'Data Cleaning'!$A$2:$P$142,15,FALSE)</f>
        <v>Male</v>
      </c>
      <c r="I7" t="str">
        <f>VLOOKUP(A7,'Data Cleaning'!$A$2:$P$142,16,FALSE)</f>
        <v>user168@example.com</v>
      </c>
    </row>
    <row r="8" spans="1:9" x14ac:dyDescent="0.3">
      <c r="A8" s="8" t="s">
        <v>16</v>
      </c>
      <c r="B8" t="str">
        <f>VLOOKUP(A8,'Data Cleaning'!$A$2:$P$142,3,FALSE)</f>
        <v>Chris Lee</v>
      </c>
      <c r="C8" t="str">
        <f>VLOOKUP(A8,'Data Cleaning'!$A$2:$P$142,5,FALSE)</f>
        <v>Marketing</v>
      </c>
      <c r="D8" t="str">
        <f>VLOOKUP(A8,'Data Cleaning'!$A$2:$P$142,7,FALSE)</f>
        <v>India</v>
      </c>
      <c r="E8" s="7">
        <f>VLOOKUP(A8,'Data Cleaning'!$A$2:$P$142,9,FALSE)</f>
        <v>35364</v>
      </c>
      <c r="F8" s="6">
        <f>VLOOKUP(A8,'Data Cleaning'!$A$2:$P$142,11,FALSE)</f>
        <v>42057</v>
      </c>
      <c r="G8" s="5">
        <f>VLOOKUP(A8,'Data Cleaning'!$A$2:$P$142,13,FALSE)</f>
        <v>2</v>
      </c>
      <c r="H8" t="str">
        <f>VLOOKUP(A8,'Data Cleaning'!$A$2:$P$142,15,FALSE)</f>
        <v>Other</v>
      </c>
      <c r="I8" t="str">
        <f>VLOOKUP(A8,'Data Cleaning'!$A$2:$P$142,16,FALSE)</f>
        <v>user26@example.com</v>
      </c>
    </row>
    <row r="9" spans="1:9" x14ac:dyDescent="0.3">
      <c r="A9" s="9" t="s">
        <v>17</v>
      </c>
      <c r="B9" t="str">
        <f>VLOOKUP(A9,'Data Cleaning'!$A$2:$P$142,3,FALSE)</f>
        <v>Alice Brown</v>
      </c>
      <c r="C9" t="str">
        <f>VLOOKUP(A9,'Data Cleaning'!$A$2:$P$142,5,FALSE)</f>
        <v>IT</v>
      </c>
      <c r="D9" t="str">
        <f>VLOOKUP(A9,'Data Cleaning'!$A$2:$P$142,7,FALSE)</f>
        <v>Germany</v>
      </c>
      <c r="E9" s="7">
        <f>VLOOKUP(A9,'Data Cleaning'!$A$2:$P$142,9,FALSE)</f>
        <v>97881</v>
      </c>
      <c r="F9" s="6">
        <f>VLOOKUP(A9,'Data Cleaning'!$A$2:$P$142,11,FALSE)</f>
        <v>42064</v>
      </c>
      <c r="G9" s="5">
        <f>VLOOKUP(A9,'Data Cleaning'!$A$2:$P$142,13,FALSE)</f>
        <v>2</v>
      </c>
      <c r="H9" t="str">
        <f>VLOOKUP(A9,'Data Cleaning'!$A$2:$P$142,15,FALSE)</f>
        <v>Female</v>
      </c>
      <c r="I9" t="str">
        <f>VLOOKUP(A9,'Data Cleaning'!$A$2:$P$142,16,FALSE)</f>
        <v>user25@example.com</v>
      </c>
    </row>
    <row r="10" spans="1:9" x14ac:dyDescent="0.3">
      <c r="A10" s="8" t="s">
        <v>18</v>
      </c>
      <c r="B10" t="str">
        <f>VLOOKUP(A10,'Data Cleaning'!$A$2:$P$142,3,FALSE)</f>
        <v>Chris Lee</v>
      </c>
      <c r="C10" t="str">
        <f>VLOOKUP(A10,'Data Cleaning'!$A$2:$P$142,5,FALSE)</f>
        <v>HR</v>
      </c>
      <c r="D10" t="str">
        <f>VLOOKUP(A10,'Data Cleaning'!$A$2:$P$142,7,FALSE)</f>
        <v>UK</v>
      </c>
      <c r="E10" s="7">
        <f>VLOOKUP(A10,'Data Cleaning'!$A$2:$P$142,9,FALSE)</f>
        <v>91846</v>
      </c>
      <c r="F10" s="6">
        <f>VLOOKUP(A10,'Data Cleaning'!$A$2:$P$142,11,FALSE)</f>
        <v>42071</v>
      </c>
      <c r="G10" s="5">
        <f>VLOOKUP(A10,'Data Cleaning'!$A$2:$P$142,13,FALSE)</f>
        <v>2</v>
      </c>
      <c r="H10" t="str">
        <f>VLOOKUP(A10,'Data Cleaning'!$A$2:$P$142,15,FALSE)</f>
        <v>Male</v>
      </c>
      <c r="I10" t="str">
        <f>VLOOKUP(A10,'Data Cleaning'!$A$2:$P$142,16,FALSE)</f>
        <v>user153@example.com</v>
      </c>
    </row>
    <row r="11" spans="1:9" x14ac:dyDescent="0.3">
      <c r="A11" s="9" t="s">
        <v>19</v>
      </c>
      <c r="B11" t="str">
        <f>VLOOKUP(A11,'Data Cleaning'!$A$2:$P$142,3,FALSE)</f>
        <v>Sam Wilson</v>
      </c>
      <c r="C11" t="str">
        <f>VLOOKUP(A11,'Data Cleaning'!$A$2:$P$142,5,FALSE)</f>
        <v>Finance</v>
      </c>
      <c r="D11" t="str">
        <f>VLOOKUP(A11,'Data Cleaning'!$A$2:$P$142,7,FALSE)</f>
        <v>UK</v>
      </c>
      <c r="E11" s="7">
        <f>VLOOKUP(A11,'Data Cleaning'!$A$2:$P$142,9,FALSE)</f>
        <v>64247</v>
      </c>
      <c r="F11" s="6">
        <f>VLOOKUP(A11,'Data Cleaning'!$A$2:$P$142,11,FALSE)</f>
        <v>42078</v>
      </c>
      <c r="G11" s="5">
        <f>VLOOKUP(A11,'Data Cleaning'!$A$2:$P$142,13,FALSE)</f>
        <v>1</v>
      </c>
      <c r="H11" t="str">
        <f>VLOOKUP(A11,'Data Cleaning'!$A$2:$P$142,15,FALSE)</f>
        <v>Female</v>
      </c>
      <c r="I11" t="str">
        <f>VLOOKUP(A11,'Data Cleaning'!$A$2:$P$142,16,FALSE)</f>
        <v>user18@example.com</v>
      </c>
    </row>
    <row r="12" spans="1:9" x14ac:dyDescent="0.3">
      <c r="A12" s="8" t="s">
        <v>20</v>
      </c>
      <c r="B12" t="str">
        <f>VLOOKUP(A12,'Data Cleaning'!$A$2:$P$142,3,FALSE)</f>
        <v>Sam Wilson</v>
      </c>
      <c r="C12" t="str">
        <f>VLOOKUP(A12,'Data Cleaning'!$A$2:$P$142,5,FALSE)</f>
        <v>IT</v>
      </c>
      <c r="D12" t="str">
        <f>VLOOKUP(A12,'Data Cleaning'!$A$2:$P$142,7,FALSE)</f>
        <v>USA</v>
      </c>
      <c r="E12" s="7">
        <f>VLOOKUP(A12,'Data Cleaning'!$A$2:$P$142,9,FALSE)</f>
        <v>91180</v>
      </c>
      <c r="F12" s="6">
        <f>VLOOKUP(A12,'Data Cleaning'!$A$2:$P$142,11,FALSE)</f>
        <v>42085</v>
      </c>
      <c r="G12" s="5">
        <f>VLOOKUP(A12,'Data Cleaning'!$A$2:$P$142,13,FALSE)</f>
        <v>5</v>
      </c>
      <c r="H12" t="str">
        <f>VLOOKUP(A12,'Data Cleaning'!$A$2:$P$142,15,FALSE)</f>
        <v>Male</v>
      </c>
      <c r="I12" t="str">
        <f>VLOOKUP(A12,'Data Cleaning'!$A$2:$P$142,16,FALSE)</f>
        <v>user1@example.com</v>
      </c>
    </row>
    <row r="13" spans="1:9" x14ac:dyDescent="0.3">
      <c r="A13" s="9" t="s">
        <v>21</v>
      </c>
      <c r="B13" t="str">
        <f>VLOOKUP(A13,'Data Cleaning'!$A$2:$P$142,3,FALSE)</f>
        <v>Bob Johnson</v>
      </c>
      <c r="C13" t="str">
        <f>VLOOKUP(A13,'Data Cleaning'!$A$2:$P$142,5,FALSE)</f>
        <v>Sales</v>
      </c>
      <c r="D13" t="str">
        <f>VLOOKUP(A13,'Data Cleaning'!$A$2:$P$142,7,FALSE)</f>
        <v>India</v>
      </c>
      <c r="E13" s="7">
        <f>VLOOKUP(A13,'Data Cleaning'!$A$2:$P$142,9,FALSE)</f>
        <v>96418</v>
      </c>
      <c r="F13" s="6">
        <f>VLOOKUP(A13,'Data Cleaning'!$A$2:$P$142,11,FALSE)</f>
        <v>42092</v>
      </c>
      <c r="G13" s="5">
        <f>VLOOKUP(A13,'Data Cleaning'!$A$2:$P$142,13,FALSE)</f>
        <v>5</v>
      </c>
      <c r="H13" t="str">
        <f>VLOOKUP(A13,'Data Cleaning'!$A$2:$P$142,15,FALSE)</f>
        <v>Male</v>
      </c>
      <c r="I13" t="str">
        <f>VLOOKUP(A13,'Data Cleaning'!$A$2:$P$142,16,FALSE)</f>
        <v>user106@example.com</v>
      </c>
    </row>
    <row r="14" spans="1:9" x14ac:dyDescent="0.3">
      <c r="A14" s="8" t="s">
        <v>22</v>
      </c>
      <c r="B14" t="str">
        <f>VLOOKUP(A14,'Data Cleaning'!$A$2:$P$142,3,FALSE)</f>
        <v>Sam Wilson</v>
      </c>
      <c r="C14" t="str">
        <f>VLOOKUP(A14,'Data Cleaning'!$A$2:$P$142,5,FALSE)</f>
        <v>Marketing</v>
      </c>
      <c r="D14" t="str">
        <f>VLOOKUP(A14,'Data Cleaning'!$A$2:$P$142,7,FALSE)</f>
        <v>India</v>
      </c>
      <c r="E14" s="7">
        <f>VLOOKUP(A14,'Data Cleaning'!$A$2:$P$142,9,FALSE)</f>
        <v>62158</v>
      </c>
      <c r="F14" s="6">
        <f>VLOOKUP(A14,'Data Cleaning'!$A$2:$P$142,11,FALSE)</f>
        <v>42099</v>
      </c>
      <c r="G14" s="5">
        <f>VLOOKUP(A14,'Data Cleaning'!$A$2:$P$142,13,FALSE)</f>
        <v>4</v>
      </c>
      <c r="H14" t="str">
        <f>VLOOKUP(A14,'Data Cleaning'!$A$2:$P$142,15,FALSE)</f>
        <v>Female</v>
      </c>
      <c r="I14" t="str">
        <f>VLOOKUP(A14,'Data Cleaning'!$A$2:$P$142,16,FALSE)</f>
        <v>user180@example.com</v>
      </c>
    </row>
    <row r="15" spans="1:9" x14ac:dyDescent="0.3">
      <c r="A15" s="9" t="s">
        <v>23</v>
      </c>
      <c r="B15" t="str">
        <f>VLOOKUP(A15,'Data Cleaning'!$A$2:$P$142,3,FALSE)</f>
        <v>Jane Smith</v>
      </c>
      <c r="C15" t="str">
        <f>VLOOKUP(A15,'Data Cleaning'!$A$2:$P$142,5,FALSE)</f>
        <v>HR</v>
      </c>
      <c r="D15" t="str">
        <f>VLOOKUP(A15,'Data Cleaning'!$A$2:$P$142,7,FALSE)</f>
        <v>India</v>
      </c>
      <c r="E15" s="7">
        <f>VLOOKUP(A15,'Data Cleaning'!$A$2:$P$142,9,FALSE)</f>
        <v>59894</v>
      </c>
      <c r="F15" s="6">
        <f>VLOOKUP(A15,'Data Cleaning'!$A$2:$P$142,11,FALSE)</f>
        <v>42106</v>
      </c>
      <c r="G15" s="5">
        <f>VLOOKUP(A15,'Data Cleaning'!$A$2:$P$142,13,FALSE)</f>
        <v>2</v>
      </c>
      <c r="H15" t="str">
        <f>VLOOKUP(A15,'Data Cleaning'!$A$2:$P$142,15,FALSE)</f>
        <v>Male</v>
      </c>
      <c r="I15" t="str">
        <f>VLOOKUP(A15,'Data Cleaning'!$A$2:$P$142,16,FALSE)</f>
        <v>user184@example.com</v>
      </c>
    </row>
    <row r="16" spans="1:9" x14ac:dyDescent="0.3">
      <c r="A16" s="8" t="s">
        <v>24</v>
      </c>
      <c r="B16" t="str">
        <f>VLOOKUP(A16,'Data Cleaning'!$A$2:$P$142,3,FALSE)</f>
        <v>Unknown</v>
      </c>
      <c r="C16" t="str">
        <f>VLOOKUP(A16,'Data Cleaning'!$A$2:$P$142,5,FALSE)</f>
        <v>IT</v>
      </c>
      <c r="D16" t="str">
        <f>VLOOKUP(A16,'Data Cleaning'!$A$2:$P$142,7,FALSE)</f>
        <v>India</v>
      </c>
      <c r="E16" s="7">
        <f>VLOOKUP(A16,'Data Cleaning'!$A$2:$P$142,9,FALSE)</f>
        <v>92443</v>
      </c>
      <c r="F16" s="6">
        <f>VLOOKUP(A16,'Data Cleaning'!$A$2:$P$142,11,FALSE)</f>
        <v>42113</v>
      </c>
      <c r="G16" s="5">
        <f>VLOOKUP(A16,'Data Cleaning'!$A$2:$P$142,13,FALSE)</f>
        <v>3</v>
      </c>
      <c r="H16" t="str">
        <f>VLOOKUP(A16,'Data Cleaning'!$A$2:$P$142,15,FALSE)</f>
        <v>Other</v>
      </c>
      <c r="I16" t="str">
        <f>VLOOKUP(A16,'Data Cleaning'!$A$2:$P$142,16,FALSE)</f>
        <v>user3@example.com</v>
      </c>
    </row>
    <row r="17" spans="1:9" x14ac:dyDescent="0.3">
      <c r="A17" s="9" t="s">
        <v>25</v>
      </c>
      <c r="B17" t="str">
        <f>VLOOKUP(A17,'Data Cleaning'!$A$2:$P$142,3,FALSE)</f>
        <v>Bob Johnson</v>
      </c>
      <c r="C17" t="str">
        <f>VLOOKUP(A17,'Data Cleaning'!$A$2:$P$142,5,FALSE)</f>
        <v>Marketing</v>
      </c>
      <c r="D17" t="str">
        <f>VLOOKUP(A17,'Data Cleaning'!$A$2:$P$142,7,FALSE)</f>
        <v>Germany</v>
      </c>
      <c r="E17" s="7">
        <f>VLOOKUP(A17,'Data Cleaning'!$A$2:$P$142,9,FALSE)</f>
        <v>90271</v>
      </c>
      <c r="F17" s="6">
        <f>VLOOKUP(A17,'Data Cleaning'!$A$2:$P$142,11,FALSE)</f>
        <v>42120</v>
      </c>
      <c r="G17" s="5">
        <f>VLOOKUP(A17,'Data Cleaning'!$A$2:$P$142,13,FALSE)</f>
        <v>2</v>
      </c>
      <c r="H17" t="str">
        <f>VLOOKUP(A17,'Data Cleaning'!$A$2:$P$142,15,FALSE)</f>
        <v>Female</v>
      </c>
      <c r="I17" t="str">
        <f>VLOOKUP(A17,'Data Cleaning'!$A$2:$P$142,16,FALSE)</f>
        <v>user64@example.com</v>
      </c>
    </row>
    <row r="18" spans="1:9" x14ac:dyDescent="0.3">
      <c r="A18" s="8" t="s">
        <v>26</v>
      </c>
      <c r="B18" t="str">
        <f>VLOOKUP(A18,'Data Cleaning'!$A$2:$P$142,3,FALSE)</f>
        <v>Jane Smith</v>
      </c>
      <c r="C18" t="str">
        <f>VLOOKUP(A18,'Data Cleaning'!$A$2:$P$142,5,FALSE)</f>
        <v>Finance</v>
      </c>
      <c r="D18" t="str">
        <f>VLOOKUP(A18,'Data Cleaning'!$A$2:$P$142,7,FALSE)</f>
        <v>Australia</v>
      </c>
      <c r="E18" s="7">
        <f>VLOOKUP(A18,'Data Cleaning'!$A$2:$P$142,9,FALSE)</f>
        <v>41341</v>
      </c>
      <c r="F18" s="6">
        <f>VLOOKUP(A18,'Data Cleaning'!$A$2:$P$142,11,FALSE)</f>
        <v>42127</v>
      </c>
      <c r="G18" s="5">
        <f>VLOOKUP(A18,'Data Cleaning'!$A$2:$P$142,13,FALSE)</f>
        <v>1</v>
      </c>
      <c r="H18" t="str">
        <f>VLOOKUP(A18,'Data Cleaning'!$A$2:$P$142,15,FALSE)</f>
        <v>Other</v>
      </c>
      <c r="I18" t="str">
        <f>VLOOKUP(A18,'Data Cleaning'!$A$2:$P$142,16,FALSE)</f>
        <v>user38@example.com</v>
      </c>
    </row>
    <row r="19" spans="1:9" x14ac:dyDescent="0.3">
      <c r="A19" s="9" t="s">
        <v>27</v>
      </c>
      <c r="B19" t="str">
        <f>VLOOKUP(A19,'Data Cleaning'!$A$2:$P$142,3,FALSE)</f>
        <v>Alice Brown</v>
      </c>
      <c r="C19" t="str">
        <f>VLOOKUP(A19,'Data Cleaning'!$A$2:$P$142,5,FALSE)</f>
        <v>Finance</v>
      </c>
      <c r="D19" t="str">
        <f>VLOOKUP(A19,'Data Cleaning'!$A$2:$P$142,7,FALSE)</f>
        <v>UK</v>
      </c>
      <c r="E19" s="7">
        <f>VLOOKUP(A19,'Data Cleaning'!$A$2:$P$142,9,FALSE)</f>
        <v>73602</v>
      </c>
      <c r="F19" s="6">
        <f>VLOOKUP(A19,'Data Cleaning'!$A$2:$P$142,11,FALSE)</f>
        <v>42134</v>
      </c>
      <c r="G19" s="5">
        <f>VLOOKUP(A19,'Data Cleaning'!$A$2:$P$142,13,FALSE)</f>
        <v>2</v>
      </c>
      <c r="H19" t="str">
        <f>VLOOKUP(A19,'Data Cleaning'!$A$2:$P$142,15,FALSE)</f>
        <v>Female</v>
      </c>
      <c r="I19" t="str">
        <f>VLOOKUP(A19,'Data Cleaning'!$A$2:$P$142,16,FALSE)</f>
        <v>user96@example.com</v>
      </c>
    </row>
    <row r="20" spans="1:9" x14ac:dyDescent="0.3">
      <c r="A20" s="8" t="s">
        <v>28</v>
      </c>
      <c r="B20" t="str">
        <f>VLOOKUP(A20,'Data Cleaning'!$A$2:$P$142,3,FALSE)</f>
        <v>Eve Adams</v>
      </c>
      <c r="C20" t="str">
        <f>VLOOKUP(A20,'Data Cleaning'!$A$2:$P$142,5,FALSE)</f>
        <v>Marketing</v>
      </c>
      <c r="D20" t="str">
        <f>VLOOKUP(A20,'Data Cleaning'!$A$2:$P$142,7,FALSE)</f>
        <v>India</v>
      </c>
      <c r="E20" s="7">
        <f>VLOOKUP(A20,'Data Cleaning'!$A$2:$P$142,9,FALSE)</f>
        <v>67531</v>
      </c>
      <c r="F20" s="6">
        <f>VLOOKUP(A20,'Data Cleaning'!$A$2:$P$142,11,FALSE)</f>
        <v>42141</v>
      </c>
      <c r="G20" s="5">
        <f>VLOOKUP(A20,'Data Cleaning'!$A$2:$P$142,13,FALSE)</f>
        <v>5</v>
      </c>
      <c r="H20" t="str">
        <f>VLOOKUP(A20,'Data Cleaning'!$A$2:$P$142,15,FALSE)</f>
        <v>Female</v>
      </c>
      <c r="I20" t="str">
        <f>VLOOKUP(A20,'Data Cleaning'!$A$2:$P$142,16,FALSE)</f>
        <v>user151@example.com</v>
      </c>
    </row>
    <row r="21" spans="1:9" x14ac:dyDescent="0.3">
      <c r="A21" s="9" t="s">
        <v>29</v>
      </c>
      <c r="B21" t="str">
        <f>VLOOKUP(A21,'Data Cleaning'!$A$2:$P$142,3,FALSE)</f>
        <v>Jane Smith</v>
      </c>
      <c r="C21" t="str">
        <f>VLOOKUP(A21,'Data Cleaning'!$A$2:$P$142,5,FALSE)</f>
        <v>HR</v>
      </c>
      <c r="D21" t="str">
        <f>VLOOKUP(A21,'Data Cleaning'!$A$2:$P$142,7,FALSE)</f>
        <v>USA</v>
      </c>
      <c r="E21" s="7">
        <f>VLOOKUP(A21,'Data Cleaning'!$A$2:$P$142,9,FALSE)</f>
        <v>67834.565217391311</v>
      </c>
      <c r="F21" s="6">
        <f>VLOOKUP(A21,'Data Cleaning'!$A$2:$P$142,11,FALSE)</f>
        <v>42148</v>
      </c>
      <c r="G21" s="5">
        <f>VLOOKUP(A21,'Data Cleaning'!$A$2:$P$142,13,FALSE)</f>
        <v>2</v>
      </c>
      <c r="H21" t="str">
        <f>VLOOKUP(A21,'Data Cleaning'!$A$2:$P$142,15,FALSE)</f>
        <v>Other</v>
      </c>
      <c r="I21" t="str">
        <f>VLOOKUP(A21,'Data Cleaning'!$A$2:$P$142,16,FALSE)</f>
        <v>user200@example.com</v>
      </c>
    </row>
    <row r="22" spans="1:9" x14ac:dyDescent="0.3">
      <c r="A22" s="8" t="s">
        <v>30</v>
      </c>
      <c r="B22" t="str">
        <f>VLOOKUP(A22,'Data Cleaning'!$A$2:$P$142,3,FALSE)</f>
        <v>Jane Smith</v>
      </c>
      <c r="C22" t="str">
        <f>VLOOKUP(A22,'Data Cleaning'!$A$2:$P$142,5,FALSE)</f>
        <v>HR</v>
      </c>
      <c r="D22" t="str">
        <f>VLOOKUP(A22,'Data Cleaning'!$A$2:$P$142,7,FALSE)</f>
        <v>India</v>
      </c>
      <c r="E22" s="7">
        <f>VLOOKUP(A22,'Data Cleaning'!$A$2:$P$142,9,FALSE)</f>
        <v>98922</v>
      </c>
      <c r="F22" s="6">
        <f>VLOOKUP(A22,'Data Cleaning'!$A$2:$P$142,11,FALSE)</f>
        <v>42155</v>
      </c>
      <c r="G22" s="5">
        <f>VLOOKUP(A22,'Data Cleaning'!$A$2:$P$142,13,FALSE)</f>
        <v>4</v>
      </c>
      <c r="H22" t="str">
        <f>VLOOKUP(A22,'Data Cleaning'!$A$2:$P$142,15,FALSE)</f>
        <v>Female</v>
      </c>
      <c r="I22" t="str">
        <f>VLOOKUP(A22,'Data Cleaning'!$A$2:$P$142,16,FALSE)</f>
        <v>user77@example.com</v>
      </c>
    </row>
    <row r="23" spans="1:9" x14ac:dyDescent="0.3">
      <c r="A23" s="9" t="s">
        <v>31</v>
      </c>
      <c r="B23" t="str">
        <f>VLOOKUP(A23,'Data Cleaning'!$A$2:$P$142,3,FALSE)</f>
        <v>Eve Adams</v>
      </c>
      <c r="C23" t="str">
        <f>VLOOKUP(A23,'Data Cleaning'!$A$2:$P$142,5,FALSE)</f>
        <v>Finance</v>
      </c>
      <c r="D23" t="str">
        <f>VLOOKUP(A23,'Data Cleaning'!$A$2:$P$142,7,FALSE)</f>
        <v>India</v>
      </c>
      <c r="E23" s="7">
        <f>VLOOKUP(A23,'Data Cleaning'!$A$2:$P$142,9,FALSE)</f>
        <v>38333</v>
      </c>
      <c r="F23" s="6">
        <f>VLOOKUP(A23,'Data Cleaning'!$A$2:$P$142,11,FALSE)</f>
        <v>42162</v>
      </c>
      <c r="G23" s="5">
        <f>VLOOKUP(A23,'Data Cleaning'!$A$2:$P$142,13,FALSE)</f>
        <v>5</v>
      </c>
      <c r="H23" t="str">
        <f>VLOOKUP(A23,'Data Cleaning'!$A$2:$P$142,15,FALSE)</f>
        <v>Female</v>
      </c>
      <c r="I23" t="str">
        <f>VLOOKUP(A23,'Data Cleaning'!$A$2:$P$142,16,FALSE)</f>
        <v>user128@example.com</v>
      </c>
    </row>
    <row r="24" spans="1:9" x14ac:dyDescent="0.3">
      <c r="A24" s="8" t="s">
        <v>32</v>
      </c>
      <c r="B24" t="str">
        <f>VLOOKUP(A24,'Data Cleaning'!$A$2:$P$142,3,FALSE)</f>
        <v>Alice Brown</v>
      </c>
      <c r="C24" t="str">
        <f>VLOOKUP(A24,'Data Cleaning'!$A$2:$P$142,5,FALSE)</f>
        <v>Marketing</v>
      </c>
      <c r="D24" t="str">
        <f>VLOOKUP(A24,'Data Cleaning'!$A$2:$P$142,7,FALSE)</f>
        <v>UK</v>
      </c>
      <c r="E24" s="7">
        <f>VLOOKUP(A24,'Data Cleaning'!$A$2:$P$142,9,FALSE)</f>
        <v>36515</v>
      </c>
      <c r="F24" s="6">
        <f>VLOOKUP(A24,'Data Cleaning'!$A$2:$P$142,11,FALSE)</f>
        <v>42169</v>
      </c>
      <c r="G24" s="5">
        <f>VLOOKUP(A24,'Data Cleaning'!$A$2:$P$142,13,FALSE)</f>
        <v>3</v>
      </c>
      <c r="H24" t="str">
        <f>VLOOKUP(A24,'Data Cleaning'!$A$2:$P$142,15,FALSE)</f>
        <v>Male</v>
      </c>
      <c r="I24" t="str">
        <f>VLOOKUP(A24,'Data Cleaning'!$A$2:$P$142,16,FALSE)</f>
        <v>user149@example.com</v>
      </c>
    </row>
    <row r="25" spans="1:9" x14ac:dyDescent="0.3">
      <c r="A25" s="9" t="s">
        <v>33</v>
      </c>
      <c r="B25" t="str">
        <f>VLOOKUP(A25,'Data Cleaning'!$A$2:$P$142,3,FALSE)</f>
        <v>Sam Wilson</v>
      </c>
      <c r="C25" t="str">
        <f>VLOOKUP(A25,'Data Cleaning'!$A$2:$P$142,5,FALSE)</f>
        <v>Finance</v>
      </c>
      <c r="D25" t="str">
        <f>VLOOKUP(A25,'Data Cleaning'!$A$2:$P$142,7,FALSE)</f>
        <v>India</v>
      </c>
      <c r="E25" s="7">
        <f>VLOOKUP(A25,'Data Cleaning'!$A$2:$P$142,9,FALSE)</f>
        <v>91005</v>
      </c>
      <c r="F25" s="6">
        <f>VLOOKUP(A25,'Data Cleaning'!$A$2:$P$142,11,FALSE)</f>
        <v>42176</v>
      </c>
      <c r="G25" s="5">
        <f>VLOOKUP(A25,'Data Cleaning'!$A$2:$P$142,13,FALSE)</f>
        <v>1</v>
      </c>
      <c r="H25" t="str">
        <f>VLOOKUP(A25,'Data Cleaning'!$A$2:$P$142,15,FALSE)</f>
        <v>Other</v>
      </c>
      <c r="I25" t="str">
        <f>VLOOKUP(A25,'Data Cleaning'!$A$2:$P$142,16,FALSE)</f>
        <v>user122@example.com</v>
      </c>
    </row>
    <row r="26" spans="1:9" x14ac:dyDescent="0.3">
      <c r="A26" s="8" t="s">
        <v>34</v>
      </c>
      <c r="B26" t="str">
        <f>VLOOKUP(A26,'Data Cleaning'!$A$2:$P$142,3,FALSE)</f>
        <v>Chris Lee</v>
      </c>
      <c r="C26" t="str">
        <f>VLOOKUP(A26,'Data Cleaning'!$A$2:$P$142,5,FALSE)</f>
        <v>Marketing</v>
      </c>
      <c r="D26" t="str">
        <f>VLOOKUP(A26,'Data Cleaning'!$A$2:$P$142,7,FALSE)</f>
        <v>India</v>
      </c>
      <c r="E26" s="7">
        <f>VLOOKUP(A26,'Data Cleaning'!$A$2:$P$142,9,FALSE)</f>
        <v>52272</v>
      </c>
      <c r="F26" s="6">
        <f>VLOOKUP(A26,'Data Cleaning'!$A$2:$P$142,11,FALSE)</f>
        <v>42183</v>
      </c>
      <c r="G26" s="5">
        <f>VLOOKUP(A26,'Data Cleaning'!$A$2:$P$142,13,FALSE)</f>
        <v>3</v>
      </c>
      <c r="H26" t="str">
        <f>VLOOKUP(A26,'Data Cleaning'!$A$2:$P$142,15,FALSE)</f>
        <v>Female</v>
      </c>
      <c r="I26" t="str">
        <f>VLOOKUP(A26,'Data Cleaning'!$A$2:$P$142,16,FALSE)</f>
        <v>user41@example.com</v>
      </c>
    </row>
    <row r="27" spans="1:9" x14ac:dyDescent="0.3">
      <c r="A27" s="9" t="s">
        <v>35</v>
      </c>
      <c r="B27" t="str">
        <f>VLOOKUP(A27,'Data Cleaning'!$A$2:$P$142,3,FALSE)</f>
        <v>Eve Adams</v>
      </c>
      <c r="C27" t="str">
        <f>VLOOKUP(A27,'Data Cleaning'!$A$2:$P$142,5,FALSE)</f>
        <v>Sales</v>
      </c>
      <c r="D27" t="str">
        <f>VLOOKUP(A27,'Data Cleaning'!$A$2:$P$142,7,FALSE)</f>
        <v>Germany</v>
      </c>
      <c r="E27" s="7">
        <f>VLOOKUP(A27,'Data Cleaning'!$A$2:$P$142,9,FALSE)</f>
        <v>76518</v>
      </c>
      <c r="F27" s="6">
        <f>VLOOKUP(A27,'Data Cleaning'!$A$2:$P$142,11,FALSE)</f>
        <v>42190</v>
      </c>
      <c r="G27" s="5">
        <f>VLOOKUP(A27,'Data Cleaning'!$A$2:$P$142,13,FALSE)</f>
        <v>2</v>
      </c>
      <c r="H27" t="str">
        <f>VLOOKUP(A27,'Data Cleaning'!$A$2:$P$142,15,FALSE)</f>
        <v>Female</v>
      </c>
      <c r="I27" t="str">
        <f>VLOOKUP(A27,'Data Cleaning'!$A$2:$P$142,16,FALSE)</f>
        <v>user68@example.com</v>
      </c>
    </row>
    <row r="28" spans="1:9" x14ac:dyDescent="0.3">
      <c r="A28" s="8" t="s">
        <v>36</v>
      </c>
      <c r="B28" t="str">
        <f>VLOOKUP(A28,'Data Cleaning'!$A$2:$P$142,3,FALSE)</f>
        <v>Alice Brown</v>
      </c>
      <c r="C28" t="str">
        <f>VLOOKUP(A28,'Data Cleaning'!$A$2:$P$142,5,FALSE)</f>
        <v>IT</v>
      </c>
      <c r="D28" t="str">
        <f>VLOOKUP(A28,'Data Cleaning'!$A$2:$P$142,7,FALSE)</f>
        <v>UK</v>
      </c>
      <c r="E28" s="7">
        <f>VLOOKUP(A28,'Data Cleaning'!$A$2:$P$142,9,FALSE)</f>
        <v>41448</v>
      </c>
      <c r="F28" s="6">
        <f>VLOOKUP(A28,'Data Cleaning'!$A$2:$P$142,11,FALSE)</f>
        <v>42197</v>
      </c>
      <c r="G28" s="5">
        <f>VLOOKUP(A28,'Data Cleaning'!$A$2:$P$142,13,FALSE)</f>
        <v>3</v>
      </c>
      <c r="H28" t="str">
        <f>VLOOKUP(A28,'Data Cleaning'!$A$2:$P$142,15,FALSE)</f>
        <v>Other</v>
      </c>
      <c r="I28" t="str">
        <f>VLOOKUP(A28,'Data Cleaning'!$A$2:$P$142,16,FALSE)</f>
        <v>user103@example.com</v>
      </c>
    </row>
    <row r="29" spans="1:9" x14ac:dyDescent="0.3">
      <c r="A29" s="9" t="s">
        <v>37</v>
      </c>
      <c r="B29" t="str">
        <f>VLOOKUP(A29,'Data Cleaning'!$A$2:$P$142,3,FALSE)</f>
        <v>John Doe</v>
      </c>
      <c r="C29" t="str">
        <f>VLOOKUP(A29,'Data Cleaning'!$A$2:$P$142,5,FALSE)</f>
        <v>HR</v>
      </c>
      <c r="D29" t="str">
        <f>VLOOKUP(A29,'Data Cleaning'!$A$2:$P$142,7,FALSE)</f>
        <v>UK</v>
      </c>
      <c r="E29" s="7">
        <f>VLOOKUP(A29,'Data Cleaning'!$A$2:$P$142,9,FALSE)</f>
        <v>49282</v>
      </c>
      <c r="F29" s="6">
        <f>VLOOKUP(A29,'Data Cleaning'!$A$2:$P$142,11,FALSE)</f>
        <v>42204</v>
      </c>
      <c r="G29" s="5">
        <f>VLOOKUP(A29,'Data Cleaning'!$A$2:$P$142,13,FALSE)</f>
        <v>2</v>
      </c>
      <c r="H29" t="str">
        <f>VLOOKUP(A29,'Data Cleaning'!$A$2:$P$142,15,FALSE)</f>
        <v>Female</v>
      </c>
      <c r="I29" t="str">
        <f>VLOOKUP(A29,'Data Cleaning'!$A$2:$P$142,16,FALSE)</f>
        <v>user135@example.com</v>
      </c>
    </row>
    <row r="30" spans="1:9" x14ac:dyDescent="0.3">
      <c r="A30" s="8" t="s">
        <v>38</v>
      </c>
      <c r="B30" t="str">
        <f>VLOOKUP(A30,'Data Cleaning'!$A$2:$P$142,3,FALSE)</f>
        <v>Bob Johnson</v>
      </c>
      <c r="C30" t="str">
        <f>VLOOKUP(A30,'Data Cleaning'!$A$2:$P$142,5,FALSE)</f>
        <v>Marketing</v>
      </c>
      <c r="D30" t="str">
        <f>VLOOKUP(A30,'Data Cleaning'!$A$2:$P$142,7,FALSE)</f>
        <v>UK</v>
      </c>
      <c r="E30" s="7">
        <f>VLOOKUP(A30,'Data Cleaning'!$A$2:$P$142,9,FALSE)</f>
        <v>92959</v>
      </c>
      <c r="F30" s="6">
        <f>VLOOKUP(A30,'Data Cleaning'!$A$2:$P$142,11,FALSE)</f>
        <v>42211</v>
      </c>
      <c r="G30" s="5">
        <f>VLOOKUP(A30,'Data Cleaning'!$A$2:$P$142,13,FALSE)</f>
        <v>5</v>
      </c>
      <c r="H30" t="str">
        <f>VLOOKUP(A30,'Data Cleaning'!$A$2:$P$142,15,FALSE)</f>
        <v>Female</v>
      </c>
      <c r="I30" t="str">
        <f>VLOOKUP(A30,'Data Cleaning'!$A$2:$P$142,16,FALSE)</f>
        <v>user83@example.com</v>
      </c>
    </row>
    <row r="31" spans="1:9" x14ac:dyDescent="0.3">
      <c r="A31" s="9" t="s">
        <v>40</v>
      </c>
      <c r="B31" t="str">
        <f>VLOOKUP(A31,'Data Cleaning'!$A$2:$P$142,3,FALSE)</f>
        <v>Eve Adams</v>
      </c>
      <c r="C31" t="str">
        <f>VLOOKUP(A31,'Data Cleaning'!$A$2:$P$142,5,FALSE)</f>
        <v>HR</v>
      </c>
      <c r="D31" t="str">
        <f>VLOOKUP(A31,'Data Cleaning'!$A$2:$P$142,7,FALSE)</f>
        <v>Germany</v>
      </c>
      <c r="E31" s="7">
        <f>VLOOKUP(A31,'Data Cleaning'!$A$2:$P$142,9,FALSE)</f>
        <v>92299</v>
      </c>
      <c r="F31" s="6">
        <f>VLOOKUP(A31,'Data Cleaning'!$A$2:$P$142,11,FALSE)</f>
        <v>42225</v>
      </c>
      <c r="G31" s="5">
        <f>VLOOKUP(A31,'Data Cleaning'!$A$2:$P$142,13,FALSE)</f>
        <v>3</v>
      </c>
      <c r="H31" t="str">
        <f>VLOOKUP(A31,'Data Cleaning'!$A$2:$P$142,15,FALSE)</f>
        <v>Male</v>
      </c>
      <c r="I31" t="str">
        <f>VLOOKUP(A31,'Data Cleaning'!$A$2:$P$142,16,FALSE)</f>
        <v>user143@example.com</v>
      </c>
    </row>
    <row r="32" spans="1:9" x14ac:dyDescent="0.3">
      <c r="A32" s="8" t="s">
        <v>41</v>
      </c>
      <c r="B32" t="str">
        <f>VLOOKUP(A32,'Data Cleaning'!$A$2:$P$142,3,FALSE)</f>
        <v>Sam Wilson</v>
      </c>
      <c r="C32" t="str">
        <f>VLOOKUP(A32,'Data Cleaning'!$A$2:$P$142,5,FALSE)</f>
        <v>HR</v>
      </c>
      <c r="D32" t="str">
        <f>VLOOKUP(A32,'Data Cleaning'!$A$2:$P$142,7,FALSE)</f>
        <v>India</v>
      </c>
      <c r="E32" s="7">
        <f>VLOOKUP(A32,'Data Cleaning'!$A$2:$P$142,9,FALSE)</f>
        <v>95586</v>
      </c>
      <c r="F32" s="6">
        <f>VLOOKUP(A32,'Data Cleaning'!$A$2:$P$142,11,FALSE)</f>
        <v>42232</v>
      </c>
      <c r="G32" s="5">
        <f>VLOOKUP(A32,'Data Cleaning'!$A$2:$P$142,13,FALSE)</f>
        <v>3</v>
      </c>
      <c r="H32" t="str">
        <f>VLOOKUP(A32,'Data Cleaning'!$A$2:$P$142,15,FALSE)</f>
        <v>Other</v>
      </c>
      <c r="I32" t="str">
        <f>VLOOKUP(A32,'Data Cleaning'!$A$2:$P$142,16,FALSE)</f>
        <v>user190@example.com</v>
      </c>
    </row>
    <row r="33" spans="1:9" x14ac:dyDescent="0.3">
      <c r="A33" s="9" t="s">
        <v>42</v>
      </c>
      <c r="B33" t="str">
        <f>VLOOKUP(A33,'Data Cleaning'!$A$2:$P$142,3,FALSE)</f>
        <v>Chris Lee</v>
      </c>
      <c r="C33" t="str">
        <f>VLOOKUP(A33,'Data Cleaning'!$A$2:$P$142,5,FALSE)</f>
        <v>Marketing</v>
      </c>
      <c r="D33" t="str">
        <f>VLOOKUP(A33,'Data Cleaning'!$A$2:$P$142,7,FALSE)</f>
        <v>USA</v>
      </c>
      <c r="E33" s="7">
        <f>VLOOKUP(A33,'Data Cleaning'!$A$2:$P$142,9,FALSE)</f>
        <v>95367</v>
      </c>
      <c r="F33" s="6">
        <f>VLOOKUP(A33,'Data Cleaning'!$A$2:$P$142,11,FALSE)</f>
        <v>42239</v>
      </c>
      <c r="G33" s="5">
        <f>VLOOKUP(A33,'Data Cleaning'!$A$2:$P$142,13,FALSE)</f>
        <v>2</v>
      </c>
      <c r="H33" t="str">
        <f>VLOOKUP(A33,'Data Cleaning'!$A$2:$P$142,15,FALSE)</f>
        <v>Male</v>
      </c>
      <c r="I33" t="str">
        <f>VLOOKUP(A33,'Data Cleaning'!$A$2:$P$142,16,FALSE)</f>
        <v>user136@example.com</v>
      </c>
    </row>
    <row r="34" spans="1:9" x14ac:dyDescent="0.3">
      <c r="A34" s="8" t="s">
        <v>43</v>
      </c>
      <c r="B34" t="str">
        <f>VLOOKUP(A34,'Data Cleaning'!$A$2:$P$142,3,FALSE)</f>
        <v>John Doe</v>
      </c>
      <c r="C34" t="str">
        <f>VLOOKUP(A34,'Data Cleaning'!$A$2:$P$142,5,FALSE)</f>
        <v>Sales</v>
      </c>
      <c r="D34" t="str">
        <f>VLOOKUP(A34,'Data Cleaning'!$A$2:$P$142,7,FALSE)</f>
        <v>Australia</v>
      </c>
      <c r="E34" s="7">
        <f>VLOOKUP(A34,'Data Cleaning'!$A$2:$P$142,9,FALSE)</f>
        <v>79549</v>
      </c>
      <c r="F34" s="6">
        <f>VLOOKUP(A34,'Data Cleaning'!$A$2:$P$142,11,FALSE)</f>
        <v>42246</v>
      </c>
      <c r="G34" s="5">
        <f>VLOOKUP(A34,'Data Cleaning'!$A$2:$P$142,13,FALSE)</f>
        <v>3</v>
      </c>
      <c r="H34" t="str">
        <f>VLOOKUP(A34,'Data Cleaning'!$A$2:$P$142,15,FALSE)</f>
        <v>Female</v>
      </c>
      <c r="I34" t="str">
        <f>VLOOKUP(A34,'Data Cleaning'!$A$2:$P$142,16,FALSE)</f>
        <v>user198@example.com</v>
      </c>
    </row>
    <row r="35" spans="1:9" x14ac:dyDescent="0.3">
      <c r="A35" s="9" t="s">
        <v>44</v>
      </c>
      <c r="B35" t="str">
        <f>VLOOKUP(A35,'Data Cleaning'!$A$2:$P$142,3,FALSE)</f>
        <v>Alice Brown</v>
      </c>
      <c r="C35" t="str">
        <f>VLOOKUP(A35,'Data Cleaning'!$A$2:$P$142,5,FALSE)</f>
        <v>Marketing</v>
      </c>
      <c r="D35" t="str">
        <f>VLOOKUP(A35,'Data Cleaning'!$A$2:$P$142,7,FALSE)</f>
        <v>UK</v>
      </c>
      <c r="E35" s="7">
        <f>VLOOKUP(A35,'Data Cleaning'!$A$2:$P$142,9,FALSE)</f>
        <v>54463</v>
      </c>
      <c r="F35" s="6">
        <f>VLOOKUP(A35,'Data Cleaning'!$A$2:$P$142,11,FALSE)</f>
        <v>42253</v>
      </c>
      <c r="G35" s="5">
        <f>VLOOKUP(A35,'Data Cleaning'!$A$2:$P$142,13,FALSE)</f>
        <v>4</v>
      </c>
      <c r="H35" t="str">
        <f>VLOOKUP(A35,'Data Cleaning'!$A$2:$P$142,15,FALSE)</f>
        <v>Male</v>
      </c>
      <c r="I35" t="str">
        <f>VLOOKUP(A35,'Data Cleaning'!$A$2:$P$142,16,FALSE)</f>
        <v>invalid_email</v>
      </c>
    </row>
    <row r="36" spans="1:9" x14ac:dyDescent="0.3">
      <c r="A36" s="8" t="s">
        <v>45</v>
      </c>
      <c r="B36" t="str">
        <f>VLOOKUP(A36,'Data Cleaning'!$A$2:$P$142,3,FALSE)</f>
        <v>Alice Brown</v>
      </c>
      <c r="C36" t="str">
        <f>VLOOKUP(A36,'Data Cleaning'!$A$2:$P$142,5,FALSE)</f>
        <v>IT</v>
      </c>
      <c r="D36" t="str">
        <f>VLOOKUP(A36,'Data Cleaning'!$A$2:$P$142,7,FALSE)</f>
        <v>USA</v>
      </c>
      <c r="E36" s="7">
        <f>VLOOKUP(A36,'Data Cleaning'!$A$2:$P$142,9,FALSE)</f>
        <v>89781</v>
      </c>
      <c r="F36" s="6">
        <f>VLOOKUP(A36,'Data Cleaning'!$A$2:$P$142,11,FALSE)</f>
        <v>42260</v>
      </c>
      <c r="G36" s="5">
        <f>VLOOKUP(A36,'Data Cleaning'!$A$2:$P$142,13,FALSE)</f>
        <v>2</v>
      </c>
      <c r="H36" t="str">
        <f>VLOOKUP(A36,'Data Cleaning'!$A$2:$P$142,15,FALSE)</f>
        <v>Female</v>
      </c>
      <c r="I36" t="str">
        <f>VLOOKUP(A36,'Data Cleaning'!$A$2:$P$142,16,FALSE)</f>
        <v>user31@example.com</v>
      </c>
    </row>
    <row r="37" spans="1:9" x14ac:dyDescent="0.3">
      <c r="A37" s="9" t="s">
        <v>46</v>
      </c>
      <c r="B37" t="str">
        <f>VLOOKUP(A37,'Data Cleaning'!$A$2:$P$142,3,FALSE)</f>
        <v>Alice Brown</v>
      </c>
      <c r="C37" t="str">
        <f>VLOOKUP(A37,'Data Cleaning'!$A$2:$P$142,5,FALSE)</f>
        <v>HR</v>
      </c>
      <c r="D37" t="str">
        <f>VLOOKUP(A37,'Data Cleaning'!$A$2:$P$142,7,FALSE)</f>
        <v>India</v>
      </c>
      <c r="E37" s="7">
        <f>VLOOKUP(A37,'Data Cleaning'!$A$2:$P$142,9,FALSE)</f>
        <v>64796</v>
      </c>
      <c r="F37" s="6">
        <f>VLOOKUP(A37,'Data Cleaning'!$A$2:$P$142,11,FALSE)</f>
        <v>42267</v>
      </c>
      <c r="G37" s="5">
        <f>VLOOKUP(A37,'Data Cleaning'!$A$2:$P$142,13,FALSE)</f>
        <v>2</v>
      </c>
      <c r="H37" t="str">
        <f>VLOOKUP(A37,'Data Cleaning'!$A$2:$P$142,15,FALSE)</f>
        <v>Other</v>
      </c>
      <c r="I37" t="str">
        <f>VLOOKUP(A37,'Data Cleaning'!$A$2:$P$142,16,FALSE)</f>
        <v>user98@example.com</v>
      </c>
    </row>
    <row r="38" spans="1:9" x14ac:dyDescent="0.3">
      <c r="A38" s="8" t="s">
        <v>47</v>
      </c>
      <c r="B38" t="str">
        <f>VLOOKUP(A38,'Data Cleaning'!$A$2:$P$142,3,FALSE)</f>
        <v>John Doe</v>
      </c>
      <c r="C38" t="str">
        <f>VLOOKUP(A38,'Data Cleaning'!$A$2:$P$142,5,FALSE)</f>
        <v>Marketing</v>
      </c>
      <c r="D38" t="str">
        <f>VLOOKUP(A38,'Data Cleaning'!$A$2:$P$142,7,FALSE)</f>
        <v>UK</v>
      </c>
      <c r="E38" s="7">
        <f>VLOOKUP(A38,'Data Cleaning'!$A$2:$P$142,9,FALSE)</f>
        <v>52093</v>
      </c>
      <c r="F38" s="6">
        <f>VLOOKUP(A38,'Data Cleaning'!$A$2:$P$142,11,FALSE)</f>
        <v>42274</v>
      </c>
      <c r="G38" s="5">
        <f>VLOOKUP(A38,'Data Cleaning'!$A$2:$P$142,13,FALSE)</f>
        <v>5</v>
      </c>
      <c r="H38" t="str">
        <f>VLOOKUP(A38,'Data Cleaning'!$A$2:$P$142,15,FALSE)</f>
        <v>Female</v>
      </c>
      <c r="I38" t="str">
        <f>VLOOKUP(A38,'Data Cleaning'!$A$2:$P$142,16,FALSE)</f>
        <v>user154@example.com</v>
      </c>
    </row>
    <row r="39" spans="1:9" x14ac:dyDescent="0.3">
      <c r="A39" s="9" t="s">
        <v>48</v>
      </c>
      <c r="B39" t="str">
        <f>VLOOKUP(A39,'Data Cleaning'!$A$2:$P$142,3,FALSE)</f>
        <v>Chris Lee</v>
      </c>
      <c r="C39" t="str">
        <f>VLOOKUP(A39,'Data Cleaning'!$A$2:$P$142,5,FALSE)</f>
        <v>HR</v>
      </c>
      <c r="D39" t="str">
        <f>VLOOKUP(A39,'Data Cleaning'!$A$2:$P$142,7,FALSE)</f>
        <v>UK</v>
      </c>
      <c r="E39" s="7">
        <f>VLOOKUP(A39,'Data Cleaning'!$A$2:$P$142,9,FALSE)</f>
        <v>48224</v>
      </c>
      <c r="F39" s="6">
        <f>VLOOKUP(A39,'Data Cleaning'!$A$2:$P$142,11,FALSE)</f>
        <v>42281</v>
      </c>
      <c r="G39" s="5">
        <f>VLOOKUP(A39,'Data Cleaning'!$A$2:$P$142,13,FALSE)</f>
        <v>3</v>
      </c>
      <c r="H39" t="str">
        <f>VLOOKUP(A39,'Data Cleaning'!$A$2:$P$142,15,FALSE)</f>
        <v>Female</v>
      </c>
      <c r="I39" t="str">
        <f>VLOOKUP(A39,'Data Cleaning'!$A$2:$P$142,16,FALSE)</f>
        <v>user42@example.com</v>
      </c>
    </row>
    <row r="40" spans="1:9" x14ac:dyDescent="0.3">
      <c r="A40" s="8" t="s">
        <v>50</v>
      </c>
      <c r="B40" t="str">
        <f>VLOOKUP(A40,'Data Cleaning'!$A$2:$P$142,3,FALSE)</f>
        <v>Alice Brown</v>
      </c>
      <c r="C40" t="str">
        <f>VLOOKUP(A40,'Data Cleaning'!$A$2:$P$142,5,FALSE)</f>
        <v>IT</v>
      </c>
      <c r="D40" t="str">
        <f>VLOOKUP(A40,'Data Cleaning'!$A$2:$P$142,7,FALSE)</f>
        <v>Germany</v>
      </c>
      <c r="E40" s="7">
        <f>VLOOKUP(A40,'Data Cleaning'!$A$2:$P$142,9,FALSE)</f>
        <v>33956</v>
      </c>
      <c r="F40" s="6">
        <f>VLOOKUP(A40,'Data Cleaning'!$A$2:$P$142,11,FALSE)</f>
        <v>42295</v>
      </c>
      <c r="G40" s="5">
        <f>VLOOKUP(A40,'Data Cleaning'!$A$2:$P$142,13,FALSE)</f>
        <v>2</v>
      </c>
      <c r="H40" t="str">
        <f>VLOOKUP(A40,'Data Cleaning'!$A$2:$P$142,15,FALSE)</f>
        <v>Female</v>
      </c>
      <c r="I40" t="str">
        <f>VLOOKUP(A40,'Data Cleaning'!$A$2:$P$142,16,FALSE)</f>
        <v>user47@example.com</v>
      </c>
    </row>
    <row r="41" spans="1:9" x14ac:dyDescent="0.3">
      <c r="A41" s="9" t="s">
        <v>51</v>
      </c>
      <c r="B41" t="str">
        <f>VLOOKUP(A41,'Data Cleaning'!$A$2:$P$142,3,FALSE)</f>
        <v>Bob Johnson</v>
      </c>
      <c r="C41" t="str">
        <f>VLOOKUP(A41,'Data Cleaning'!$A$2:$P$142,5,FALSE)</f>
        <v>Marketing</v>
      </c>
      <c r="D41" t="str">
        <f>VLOOKUP(A41,'Data Cleaning'!$A$2:$P$142,7,FALSE)</f>
        <v>Australia</v>
      </c>
      <c r="E41" s="7">
        <f>VLOOKUP(A41,'Data Cleaning'!$A$2:$P$142,9,FALSE)</f>
        <v>64913</v>
      </c>
      <c r="F41" s="6">
        <f>VLOOKUP(A41,'Data Cleaning'!$A$2:$P$142,11,FALSE)</f>
        <v>42302</v>
      </c>
      <c r="G41" s="5">
        <f>VLOOKUP(A41,'Data Cleaning'!$A$2:$P$142,13,FALSE)</f>
        <v>1</v>
      </c>
      <c r="H41" t="str">
        <f>VLOOKUP(A41,'Data Cleaning'!$A$2:$P$142,15,FALSE)</f>
        <v>Female</v>
      </c>
      <c r="I41" t="str">
        <f>VLOOKUP(A41,'Data Cleaning'!$A$2:$P$142,16,FALSE)</f>
        <v>user175@example.com</v>
      </c>
    </row>
    <row r="42" spans="1:9" x14ac:dyDescent="0.3">
      <c r="A42" s="8" t="s">
        <v>52</v>
      </c>
      <c r="B42" t="str">
        <f>VLOOKUP(A42,'Data Cleaning'!$A$2:$P$142,3,FALSE)</f>
        <v>Alice Brown</v>
      </c>
      <c r="C42" t="str">
        <f>VLOOKUP(A42,'Data Cleaning'!$A$2:$P$142,5,FALSE)</f>
        <v>Marketing</v>
      </c>
      <c r="D42" t="str">
        <f>VLOOKUP(A42,'Data Cleaning'!$A$2:$P$142,7,FALSE)</f>
        <v>Australia</v>
      </c>
      <c r="E42" s="7">
        <f>VLOOKUP(A42,'Data Cleaning'!$A$2:$P$142,9,FALSE)</f>
        <v>35326</v>
      </c>
      <c r="F42" s="6">
        <f>VLOOKUP(A42,'Data Cleaning'!$A$2:$P$142,11,FALSE)</f>
        <v>42309</v>
      </c>
      <c r="G42" s="5">
        <f>VLOOKUP(A42,'Data Cleaning'!$A$2:$P$142,13,FALSE)</f>
        <v>2</v>
      </c>
      <c r="H42" t="str">
        <f>VLOOKUP(A42,'Data Cleaning'!$A$2:$P$142,15,FALSE)</f>
        <v>Female</v>
      </c>
      <c r="I42" t="str">
        <f>VLOOKUP(A42,'Data Cleaning'!$A$2:$P$142,16,FALSE)</f>
        <v>user57@example.com</v>
      </c>
    </row>
    <row r="43" spans="1:9" x14ac:dyDescent="0.3">
      <c r="A43" s="9" t="s">
        <v>53</v>
      </c>
      <c r="B43" t="str">
        <f>VLOOKUP(A43,'Data Cleaning'!$A$2:$P$142,3,FALSE)</f>
        <v>Chris Lee</v>
      </c>
      <c r="C43" t="str">
        <f>VLOOKUP(A43,'Data Cleaning'!$A$2:$P$142,5,FALSE)</f>
        <v>Finance</v>
      </c>
      <c r="D43" t="str">
        <f>VLOOKUP(A43,'Data Cleaning'!$A$2:$P$142,7,FALSE)</f>
        <v>India</v>
      </c>
      <c r="E43" s="7">
        <f>VLOOKUP(A43,'Data Cleaning'!$A$2:$P$142,9,FALSE)</f>
        <v>81610</v>
      </c>
      <c r="F43" s="6">
        <f>VLOOKUP(A43,'Data Cleaning'!$A$2:$P$142,11,FALSE)</f>
        <v>42316</v>
      </c>
      <c r="G43" s="5">
        <f>VLOOKUP(A43,'Data Cleaning'!$A$2:$P$142,13,FALSE)</f>
        <v>1</v>
      </c>
      <c r="H43" t="str">
        <f>VLOOKUP(A43,'Data Cleaning'!$A$2:$P$142,15,FALSE)</f>
        <v>Female</v>
      </c>
      <c r="I43" t="str">
        <f>VLOOKUP(A43,'Data Cleaning'!$A$2:$P$142,16,FALSE)</f>
        <v>user20@example.com</v>
      </c>
    </row>
    <row r="44" spans="1:9" x14ac:dyDescent="0.3">
      <c r="A44" s="8" t="s">
        <v>54</v>
      </c>
      <c r="B44" t="str">
        <f>VLOOKUP(A44,'Data Cleaning'!$A$2:$P$142,3,FALSE)</f>
        <v>Unknown</v>
      </c>
      <c r="C44" t="str">
        <f>VLOOKUP(A44,'Data Cleaning'!$A$2:$P$142,5,FALSE)</f>
        <v>HR</v>
      </c>
      <c r="D44" t="str">
        <f>VLOOKUP(A44,'Data Cleaning'!$A$2:$P$142,7,FALSE)</f>
        <v>India</v>
      </c>
      <c r="E44" s="7">
        <f>VLOOKUP(A44,'Data Cleaning'!$A$2:$P$142,9,FALSE)</f>
        <v>58962</v>
      </c>
      <c r="F44" s="6">
        <f>VLOOKUP(A44,'Data Cleaning'!$A$2:$P$142,11,FALSE)</f>
        <v>42323</v>
      </c>
      <c r="G44" s="5">
        <f>VLOOKUP(A44,'Data Cleaning'!$A$2:$P$142,13,FALSE)</f>
        <v>3</v>
      </c>
      <c r="H44" t="str">
        <f>VLOOKUP(A44,'Data Cleaning'!$A$2:$P$142,15,FALSE)</f>
        <v>Other</v>
      </c>
      <c r="I44" t="str">
        <f>VLOOKUP(A44,'Data Cleaning'!$A$2:$P$142,16,FALSE)</f>
        <v>user106@example.com</v>
      </c>
    </row>
    <row r="45" spans="1:9" x14ac:dyDescent="0.3">
      <c r="A45" s="9" t="s">
        <v>55</v>
      </c>
      <c r="B45" t="str">
        <f>VLOOKUP(A45,'Data Cleaning'!$A$2:$P$142,3,FALSE)</f>
        <v>Chris Lee</v>
      </c>
      <c r="C45" t="str">
        <f>VLOOKUP(A45,'Data Cleaning'!$A$2:$P$142,5,FALSE)</f>
        <v>IT</v>
      </c>
      <c r="D45" t="str">
        <f>VLOOKUP(A45,'Data Cleaning'!$A$2:$P$142,7,FALSE)</f>
        <v>Germany</v>
      </c>
      <c r="E45" s="7">
        <f>VLOOKUP(A45,'Data Cleaning'!$A$2:$P$142,9,FALSE)</f>
        <v>92701</v>
      </c>
      <c r="F45" s="6">
        <f>VLOOKUP(A45,'Data Cleaning'!$A$2:$P$142,11,FALSE)</f>
        <v>42330</v>
      </c>
      <c r="G45" s="5">
        <f>VLOOKUP(A45,'Data Cleaning'!$A$2:$P$142,13,FALSE)</f>
        <v>3</v>
      </c>
      <c r="H45" t="str">
        <f>VLOOKUP(A45,'Data Cleaning'!$A$2:$P$142,15,FALSE)</f>
        <v>Other</v>
      </c>
      <c r="I45" t="str">
        <f>VLOOKUP(A45,'Data Cleaning'!$A$2:$P$142,16,FALSE)</f>
        <v>user199@example.com</v>
      </c>
    </row>
    <row r="46" spans="1:9" x14ac:dyDescent="0.3">
      <c r="A46" s="8" t="s">
        <v>56</v>
      </c>
      <c r="B46" t="str">
        <f>VLOOKUP(A46,'Data Cleaning'!$A$2:$P$142,3,FALSE)</f>
        <v>Chris Lee</v>
      </c>
      <c r="C46" t="str">
        <f>VLOOKUP(A46,'Data Cleaning'!$A$2:$P$142,5,FALSE)</f>
        <v>HR</v>
      </c>
      <c r="D46" t="str">
        <f>VLOOKUP(A46,'Data Cleaning'!$A$2:$P$142,7,FALSE)</f>
        <v>India</v>
      </c>
      <c r="E46" s="7">
        <f>VLOOKUP(A46,'Data Cleaning'!$A$2:$P$142,9,FALSE)</f>
        <v>58245</v>
      </c>
      <c r="F46" s="6">
        <f>VLOOKUP(A46,'Data Cleaning'!$A$2:$P$142,11,FALSE)</f>
        <v>42337</v>
      </c>
      <c r="G46" s="5">
        <f>VLOOKUP(A46,'Data Cleaning'!$A$2:$P$142,13,FALSE)</f>
        <v>4</v>
      </c>
      <c r="H46" t="str">
        <f>VLOOKUP(A46,'Data Cleaning'!$A$2:$P$142,15,FALSE)</f>
        <v>Female</v>
      </c>
      <c r="I46" t="str">
        <f>VLOOKUP(A46,'Data Cleaning'!$A$2:$P$142,16,FALSE)</f>
        <v>user43@example.com</v>
      </c>
    </row>
    <row r="47" spans="1:9" x14ac:dyDescent="0.3">
      <c r="A47" s="9" t="s">
        <v>57</v>
      </c>
      <c r="B47" t="str">
        <f>VLOOKUP(A47,'Data Cleaning'!$A$2:$P$142,3,FALSE)</f>
        <v>John Doe</v>
      </c>
      <c r="C47" t="str">
        <f>VLOOKUP(A47,'Data Cleaning'!$A$2:$P$142,5,FALSE)</f>
        <v>Finance</v>
      </c>
      <c r="D47" t="str">
        <f>VLOOKUP(A47,'Data Cleaning'!$A$2:$P$142,7,FALSE)</f>
        <v>India</v>
      </c>
      <c r="E47" s="7">
        <f>VLOOKUP(A47,'Data Cleaning'!$A$2:$P$142,9,FALSE)</f>
        <v>66513</v>
      </c>
      <c r="F47" s="6">
        <f>VLOOKUP(A47,'Data Cleaning'!$A$2:$P$142,11,FALSE)</f>
        <v>42344</v>
      </c>
      <c r="G47" s="5">
        <f>VLOOKUP(A47,'Data Cleaning'!$A$2:$P$142,13,FALSE)</f>
        <v>2</v>
      </c>
      <c r="H47" t="str">
        <f>VLOOKUP(A47,'Data Cleaning'!$A$2:$P$142,15,FALSE)</f>
        <v>Other</v>
      </c>
      <c r="I47" t="str">
        <f>VLOOKUP(A47,'Data Cleaning'!$A$2:$P$142,16,FALSE)</f>
        <v>user24@example.com</v>
      </c>
    </row>
    <row r="48" spans="1:9" x14ac:dyDescent="0.3">
      <c r="A48" s="8" t="s">
        <v>58</v>
      </c>
      <c r="B48" t="str">
        <f>VLOOKUP(A48,'Data Cleaning'!$A$2:$P$142,3,FALSE)</f>
        <v>Eve Adams</v>
      </c>
      <c r="C48" t="str">
        <f>VLOOKUP(A48,'Data Cleaning'!$A$2:$P$142,5,FALSE)</f>
        <v>HR</v>
      </c>
      <c r="D48" t="str">
        <f>VLOOKUP(A48,'Data Cleaning'!$A$2:$P$142,7,FALSE)</f>
        <v>Germany</v>
      </c>
      <c r="E48" s="7">
        <f>VLOOKUP(A48,'Data Cleaning'!$A$2:$P$142,9,FALSE)</f>
        <v>78720</v>
      </c>
      <c r="F48" s="6">
        <f>VLOOKUP(A48,'Data Cleaning'!$A$2:$P$142,11,FALSE)</f>
        <v>42351</v>
      </c>
      <c r="G48" s="5">
        <f>VLOOKUP(A48,'Data Cleaning'!$A$2:$P$142,13,FALSE)</f>
        <v>5</v>
      </c>
      <c r="H48" t="str">
        <f>VLOOKUP(A48,'Data Cleaning'!$A$2:$P$142,15,FALSE)</f>
        <v>Female</v>
      </c>
      <c r="I48" t="str">
        <f>VLOOKUP(A48,'Data Cleaning'!$A$2:$P$142,16,FALSE)</f>
        <v>user89@example.com</v>
      </c>
    </row>
    <row r="49" spans="1:9" x14ac:dyDescent="0.3">
      <c r="A49" s="9" t="s">
        <v>60</v>
      </c>
      <c r="B49" t="str">
        <f>VLOOKUP(A49,'Data Cleaning'!$A$2:$P$142,3,FALSE)</f>
        <v>Sam Wilson</v>
      </c>
      <c r="C49" t="str">
        <f>VLOOKUP(A49,'Data Cleaning'!$A$2:$P$142,5,FALSE)</f>
        <v>Sales</v>
      </c>
      <c r="D49" t="str">
        <f>VLOOKUP(A49,'Data Cleaning'!$A$2:$P$142,7,FALSE)</f>
        <v>India</v>
      </c>
      <c r="E49" s="7">
        <f>VLOOKUP(A49,'Data Cleaning'!$A$2:$P$142,9,FALSE)</f>
        <v>39423</v>
      </c>
      <c r="F49" s="6">
        <f>VLOOKUP(A49,'Data Cleaning'!$A$2:$P$142,11,FALSE)</f>
        <v>42365</v>
      </c>
      <c r="G49" s="5">
        <f>VLOOKUP(A49,'Data Cleaning'!$A$2:$P$142,13,FALSE)</f>
        <v>5</v>
      </c>
      <c r="H49" t="str">
        <f>VLOOKUP(A49,'Data Cleaning'!$A$2:$P$142,15,FALSE)</f>
        <v>Female</v>
      </c>
      <c r="I49" t="str">
        <f>VLOOKUP(A49,'Data Cleaning'!$A$2:$P$142,16,FALSE)</f>
        <v>user59@example.com</v>
      </c>
    </row>
    <row r="50" spans="1:9" x14ac:dyDescent="0.3">
      <c r="A50" s="8" t="s">
        <v>61</v>
      </c>
      <c r="B50" t="str">
        <f>VLOOKUP(A50,'Data Cleaning'!$A$2:$P$142,3,FALSE)</f>
        <v>Eve Adams</v>
      </c>
      <c r="C50" t="str">
        <f>VLOOKUP(A50,'Data Cleaning'!$A$2:$P$142,5,FALSE)</f>
        <v>Marketing</v>
      </c>
      <c r="D50" t="str">
        <f>VLOOKUP(A50,'Data Cleaning'!$A$2:$P$142,7,FALSE)</f>
        <v>India</v>
      </c>
      <c r="E50" s="7">
        <f>VLOOKUP(A50,'Data Cleaning'!$A$2:$P$142,9,FALSE)</f>
        <v>30280</v>
      </c>
      <c r="F50" s="6">
        <f>VLOOKUP(A50,'Data Cleaning'!$A$2:$P$142,11,FALSE)</f>
        <v>42372</v>
      </c>
      <c r="G50" s="5">
        <f>VLOOKUP(A50,'Data Cleaning'!$A$2:$P$142,13,FALSE)</f>
        <v>1</v>
      </c>
      <c r="H50" t="str">
        <f>VLOOKUP(A50,'Data Cleaning'!$A$2:$P$142,15,FALSE)</f>
        <v>Female</v>
      </c>
      <c r="I50" t="str">
        <f>VLOOKUP(A50,'Data Cleaning'!$A$2:$P$142,16,FALSE)</f>
        <v>user152@example.com</v>
      </c>
    </row>
    <row r="51" spans="1:9" x14ac:dyDescent="0.3">
      <c r="A51" s="9" t="s">
        <v>62</v>
      </c>
      <c r="B51" t="str">
        <f>VLOOKUP(A51,'Data Cleaning'!$A$2:$P$142,3,FALSE)</f>
        <v>Eve Adams</v>
      </c>
      <c r="C51" t="str">
        <f>VLOOKUP(A51,'Data Cleaning'!$A$2:$P$142,5,FALSE)</f>
        <v>Finance</v>
      </c>
      <c r="D51" t="str">
        <f>VLOOKUP(A51,'Data Cleaning'!$A$2:$P$142,7,FALSE)</f>
        <v>UK</v>
      </c>
      <c r="E51" s="7">
        <f>VLOOKUP(A51,'Data Cleaning'!$A$2:$P$142,9,FALSE)</f>
        <v>33352</v>
      </c>
      <c r="F51" s="6">
        <f>VLOOKUP(A51,'Data Cleaning'!$A$2:$P$142,11,FALSE)</f>
        <v>42379</v>
      </c>
      <c r="G51" s="5">
        <f>VLOOKUP(A51,'Data Cleaning'!$A$2:$P$142,13,FALSE)</f>
        <v>3</v>
      </c>
      <c r="H51" t="str">
        <f>VLOOKUP(A51,'Data Cleaning'!$A$2:$P$142,15,FALSE)</f>
        <v>Female</v>
      </c>
      <c r="I51" t="str">
        <f>VLOOKUP(A51,'Data Cleaning'!$A$2:$P$142,16,FALSE)</f>
        <v>user200@example.com</v>
      </c>
    </row>
    <row r="52" spans="1:9" x14ac:dyDescent="0.3">
      <c r="A52" s="8" t="s">
        <v>63</v>
      </c>
      <c r="B52" t="str">
        <f>VLOOKUP(A52,'Data Cleaning'!$A$2:$P$142,3,FALSE)</f>
        <v>Bob Johnson</v>
      </c>
      <c r="C52" t="str">
        <f>VLOOKUP(A52,'Data Cleaning'!$A$2:$P$142,5,FALSE)</f>
        <v>Marketing</v>
      </c>
      <c r="D52" t="str">
        <f>VLOOKUP(A52,'Data Cleaning'!$A$2:$P$142,7,FALSE)</f>
        <v>UK</v>
      </c>
      <c r="E52" s="7">
        <f>VLOOKUP(A52,'Data Cleaning'!$A$2:$P$142,9,FALSE)</f>
        <v>75633</v>
      </c>
      <c r="F52" s="6">
        <f>VLOOKUP(A52,'Data Cleaning'!$A$2:$P$142,11,FALSE)</f>
        <v>42386</v>
      </c>
      <c r="G52" s="5">
        <f>VLOOKUP(A52,'Data Cleaning'!$A$2:$P$142,13,FALSE)</f>
        <v>5</v>
      </c>
      <c r="H52" t="str">
        <f>VLOOKUP(A52,'Data Cleaning'!$A$2:$P$142,15,FALSE)</f>
        <v>Other</v>
      </c>
      <c r="I52" t="str">
        <f>VLOOKUP(A52,'Data Cleaning'!$A$2:$P$142,16,FALSE)</f>
        <v>user92@example.com</v>
      </c>
    </row>
    <row r="53" spans="1:9" x14ac:dyDescent="0.3">
      <c r="A53" s="9" t="s">
        <v>64</v>
      </c>
      <c r="B53" t="str">
        <f>VLOOKUP(A53,'Data Cleaning'!$A$2:$P$142,3,FALSE)</f>
        <v>Chris Lee</v>
      </c>
      <c r="C53" t="str">
        <f>VLOOKUP(A53,'Data Cleaning'!$A$2:$P$142,5,FALSE)</f>
        <v>Marketing</v>
      </c>
      <c r="D53" t="str">
        <f>VLOOKUP(A53,'Data Cleaning'!$A$2:$P$142,7,FALSE)</f>
        <v>USA</v>
      </c>
      <c r="E53" s="7">
        <f>VLOOKUP(A53,'Data Cleaning'!$A$2:$P$142,9,FALSE)</f>
        <v>74815</v>
      </c>
      <c r="F53" s="6">
        <f>VLOOKUP(A53,'Data Cleaning'!$A$2:$P$142,11,FALSE)</f>
        <v>42393</v>
      </c>
      <c r="G53" s="5">
        <f>VLOOKUP(A53,'Data Cleaning'!$A$2:$P$142,13,FALSE)</f>
        <v>5</v>
      </c>
      <c r="H53" t="str">
        <f>VLOOKUP(A53,'Data Cleaning'!$A$2:$P$142,15,FALSE)</f>
        <v>Female</v>
      </c>
      <c r="I53" t="str">
        <f>VLOOKUP(A53,'Data Cleaning'!$A$2:$P$142,16,FALSE)</f>
        <v>user50@example.com</v>
      </c>
    </row>
    <row r="54" spans="1:9" x14ac:dyDescent="0.3">
      <c r="A54" s="8" t="s">
        <v>65</v>
      </c>
      <c r="B54" t="str">
        <f>VLOOKUP(A54,'Data Cleaning'!$A$2:$P$142,3,FALSE)</f>
        <v>John Doe</v>
      </c>
      <c r="C54" t="str">
        <f>VLOOKUP(A54,'Data Cleaning'!$A$2:$P$142,5,FALSE)</f>
        <v>Sales</v>
      </c>
      <c r="D54" t="str">
        <f>VLOOKUP(A54,'Data Cleaning'!$A$2:$P$142,7,FALSE)</f>
        <v>Australia</v>
      </c>
      <c r="E54" s="7">
        <f>VLOOKUP(A54,'Data Cleaning'!$A$2:$P$142,9,FALSE)</f>
        <v>60011</v>
      </c>
      <c r="F54" s="6">
        <f>VLOOKUP(A54,'Data Cleaning'!$A$2:$P$142,11,FALSE)</f>
        <v>42400</v>
      </c>
      <c r="G54" s="5">
        <f>VLOOKUP(A54,'Data Cleaning'!$A$2:$P$142,13,FALSE)</f>
        <v>1</v>
      </c>
      <c r="H54" t="str">
        <f>VLOOKUP(A54,'Data Cleaning'!$A$2:$P$142,15,FALSE)</f>
        <v>Male</v>
      </c>
      <c r="I54" t="str">
        <f>VLOOKUP(A54,'Data Cleaning'!$A$2:$P$142,16,FALSE)</f>
        <v>user63@example.com</v>
      </c>
    </row>
    <row r="55" spans="1:9" x14ac:dyDescent="0.3">
      <c r="A55" s="9" t="s">
        <v>66</v>
      </c>
      <c r="B55" t="str">
        <f>VLOOKUP(A55,'Data Cleaning'!$A$2:$P$142,3,FALSE)</f>
        <v>Eve Adams</v>
      </c>
      <c r="C55" t="str">
        <f>VLOOKUP(A55,'Data Cleaning'!$A$2:$P$142,5,FALSE)</f>
        <v>Marketing</v>
      </c>
      <c r="D55" t="str">
        <f>VLOOKUP(A55,'Data Cleaning'!$A$2:$P$142,7,FALSE)</f>
        <v>India</v>
      </c>
      <c r="E55" s="7">
        <f>VLOOKUP(A55,'Data Cleaning'!$A$2:$P$142,9,FALSE)</f>
        <v>96949</v>
      </c>
      <c r="F55" s="6">
        <f>VLOOKUP(A55,'Data Cleaning'!$A$2:$P$142,11,FALSE)</f>
        <v>42407</v>
      </c>
      <c r="G55" s="5">
        <f>VLOOKUP(A55,'Data Cleaning'!$A$2:$P$142,13,FALSE)</f>
        <v>3</v>
      </c>
      <c r="H55" t="str">
        <f>VLOOKUP(A55,'Data Cleaning'!$A$2:$P$142,15,FALSE)</f>
        <v>Female</v>
      </c>
      <c r="I55" t="str">
        <f>VLOOKUP(A55,'Data Cleaning'!$A$2:$P$142,16,FALSE)</f>
        <v>user103@example.com</v>
      </c>
    </row>
    <row r="56" spans="1:9" x14ac:dyDescent="0.3">
      <c r="A56" s="8" t="s">
        <v>67</v>
      </c>
      <c r="B56" t="str">
        <f>VLOOKUP(A56,'Data Cleaning'!$A$2:$P$142,3,FALSE)</f>
        <v>Sam Wilson</v>
      </c>
      <c r="C56" t="str">
        <f>VLOOKUP(A56,'Data Cleaning'!$A$2:$P$142,5,FALSE)</f>
        <v>Marketing</v>
      </c>
      <c r="D56" t="str">
        <f>VLOOKUP(A56,'Data Cleaning'!$A$2:$P$142,7,FALSE)</f>
        <v>India</v>
      </c>
      <c r="E56" s="7">
        <f>VLOOKUP(A56,'Data Cleaning'!$A$2:$P$142,9,FALSE)</f>
        <v>84924</v>
      </c>
      <c r="F56" s="6">
        <f>VLOOKUP(A56,'Data Cleaning'!$A$2:$P$142,11,FALSE)</f>
        <v>42414</v>
      </c>
      <c r="G56" s="5">
        <f>VLOOKUP(A56,'Data Cleaning'!$A$2:$P$142,13,FALSE)</f>
        <v>5</v>
      </c>
      <c r="H56" t="str">
        <f>VLOOKUP(A56,'Data Cleaning'!$A$2:$P$142,15,FALSE)</f>
        <v>Male</v>
      </c>
      <c r="I56" t="str">
        <f>VLOOKUP(A56,'Data Cleaning'!$A$2:$P$142,16,FALSE)</f>
        <v>user150@example.com</v>
      </c>
    </row>
    <row r="57" spans="1:9" x14ac:dyDescent="0.3">
      <c r="A57" s="9" t="s">
        <v>68</v>
      </c>
      <c r="B57" t="str">
        <f>VLOOKUP(A57,'Data Cleaning'!$A$2:$P$142,3,FALSE)</f>
        <v>Sam Wilson</v>
      </c>
      <c r="C57" t="str">
        <f>VLOOKUP(A57,'Data Cleaning'!$A$2:$P$142,5,FALSE)</f>
        <v>Finance</v>
      </c>
      <c r="D57" t="str">
        <f>VLOOKUP(A57,'Data Cleaning'!$A$2:$P$142,7,FALSE)</f>
        <v>USA</v>
      </c>
      <c r="E57" s="7">
        <f>VLOOKUP(A57,'Data Cleaning'!$A$2:$P$142,9,FALSE)</f>
        <v>82033</v>
      </c>
      <c r="F57" s="6">
        <f>VLOOKUP(A57,'Data Cleaning'!$A$2:$P$142,11,FALSE)</f>
        <v>42421</v>
      </c>
      <c r="G57" s="5">
        <f>VLOOKUP(A57,'Data Cleaning'!$A$2:$P$142,13,FALSE)</f>
        <v>1</v>
      </c>
      <c r="H57" t="str">
        <f>VLOOKUP(A57,'Data Cleaning'!$A$2:$P$142,15,FALSE)</f>
        <v>Female</v>
      </c>
      <c r="I57" t="str">
        <f>VLOOKUP(A57,'Data Cleaning'!$A$2:$P$142,16,FALSE)</f>
        <v>user20@example.com</v>
      </c>
    </row>
    <row r="58" spans="1:9" x14ac:dyDescent="0.3">
      <c r="A58" s="8" t="s">
        <v>70</v>
      </c>
      <c r="B58" t="str">
        <f>VLOOKUP(A58,'Data Cleaning'!$A$2:$P$142,3,FALSE)</f>
        <v>Eve Adams</v>
      </c>
      <c r="C58" t="str">
        <f>VLOOKUP(A58,'Data Cleaning'!$A$2:$P$142,5,FALSE)</f>
        <v>Marketing</v>
      </c>
      <c r="D58" t="str">
        <f>VLOOKUP(A58,'Data Cleaning'!$A$2:$P$142,7,FALSE)</f>
        <v>Australia</v>
      </c>
      <c r="E58" s="7">
        <f>VLOOKUP(A58,'Data Cleaning'!$A$2:$P$142,9,FALSE)</f>
        <v>31499</v>
      </c>
      <c r="F58" s="6">
        <f>VLOOKUP(A58,'Data Cleaning'!$A$2:$P$142,11,FALSE)</f>
        <v>42435</v>
      </c>
      <c r="G58" s="5">
        <f>VLOOKUP(A58,'Data Cleaning'!$A$2:$P$142,13,FALSE)</f>
        <v>2</v>
      </c>
      <c r="H58" t="str">
        <f>VLOOKUP(A58,'Data Cleaning'!$A$2:$P$142,15,FALSE)</f>
        <v>Female</v>
      </c>
      <c r="I58" t="str">
        <f>VLOOKUP(A58,'Data Cleaning'!$A$2:$P$142,16,FALSE)</f>
        <v>user31@example.com</v>
      </c>
    </row>
    <row r="59" spans="1:9" x14ac:dyDescent="0.3">
      <c r="A59" s="9" t="s">
        <v>71</v>
      </c>
      <c r="B59" t="str">
        <f>VLOOKUP(A59,'Data Cleaning'!$A$2:$P$142,3,FALSE)</f>
        <v>Chris Lee</v>
      </c>
      <c r="C59" t="str">
        <f>VLOOKUP(A59,'Data Cleaning'!$A$2:$P$142,5,FALSE)</f>
        <v>IT</v>
      </c>
      <c r="D59" t="str">
        <f>VLOOKUP(A59,'Data Cleaning'!$A$2:$P$142,7,FALSE)</f>
        <v>UK</v>
      </c>
      <c r="E59" s="7">
        <f>VLOOKUP(A59,'Data Cleaning'!$A$2:$P$142,9,FALSE)</f>
        <v>97981</v>
      </c>
      <c r="F59" s="6">
        <f>VLOOKUP(A59,'Data Cleaning'!$A$2:$P$142,11,FALSE)</f>
        <v>42442</v>
      </c>
      <c r="G59" s="5">
        <f>VLOOKUP(A59,'Data Cleaning'!$A$2:$P$142,13,FALSE)</f>
        <v>5</v>
      </c>
      <c r="H59" t="str">
        <f>VLOOKUP(A59,'Data Cleaning'!$A$2:$P$142,15,FALSE)</f>
        <v>Female</v>
      </c>
      <c r="I59" t="str">
        <f>VLOOKUP(A59,'Data Cleaning'!$A$2:$P$142,16,FALSE)</f>
        <v>user71@example.com</v>
      </c>
    </row>
    <row r="60" spans="1:9" x14ac:dyDescent="0.3">
      <c r="A60" s="8" t="s">
        <v>72</v>
      </c>
      <c r="B60" t="str">
        <f>VLOOKUP(A60,'Data Cleaning'!$A$2:$P$142,3,FALSE)</f>
        <v>Eve Adams</v>
      </c>
      <c r="C60" t="str">
        <f>VLOOKUP(A60,'Data Cleaning'!$A$2:$P$142,5,FALSE)</f>
        <v>HR</v>
      </c>
      <c r="D60" t="str">
        <f>VLOOKUP(A60,'Data Cleaning'!$A$2:$P$142,7,FALSE)</f>
        <v>USA</v>
      </c>
      <c r="E60" s="7">
        <f>VLOOKUP(A60,'Data Cleaning'!$A$2:$P$142,9,FALSE)</f>
        <v>36541</v>
      </c>
      <c r="F60" s="6">
        <f>VLOOKUP(A60,'Data Cleaning'!$A$2:$P$142,11,FALSE)</f>
        <v>42449</v>
      </c>
      <c r="G60" s="5">
        <f>VLOOKUP(A60,'Data Cleaning'!$A$2:$P$142,13,FALSE)</f>
        <v>2</v>
      </c>
      <c r="H60" t="str">
        <f>VLOOKUP(A60,'Data Cleaning'!$A$2:$P$142,15,FALSE)</f>
        <v>Other</v>
      </c>
      <c r="I60" t="str">
        <f>VLOOKUP(A60,'Data Cleaning'!$A$2:$P$142,16,FALSE)</f>
        <v>user97@example.com</v>
      </c>
    </row>
    <row r="61" spans="1:9" x14ac:dyDescent="0.3">
      <c r="A61" s="9" t="s">
        <v>73</v>
      </c>
      <c r="B61" t="str">
        <f>VLOOKUP(A61,'Data Cleaning'!$A$2:$P$142,3,FALSE)</f>
        <v>John Doe</v>
      </c>
      <c r="C61" t="str">
        <f>VLOOKUP(A61,'Data Cleaning'!$A$2:$P$142,5,FALSE)</f>
        <v>IT</v>
      </c>
      <c r="D61" t="str">
        <f>VLOOKUP(A61,'Data Cleaning'!$A$2:$P$142,7,FALSE)</f>
        <v>India</v>
      </c>
      <c r="E61" s="7">
        <f>VLOOKUP(A61,'Data Cleaning'!$A$2:$P$142,9,FALSE)</f>
        <v>84737</v>
      </c>
      <c r="F61" s="6">
        <f>VLOOKUP(A61,'Data Cleaning'!$A$2:$P$142,11,FALSE)</f>
        <v>42456</v>
      </c>
      <c r="G61" s="5">
        <f>VLOOKUP(A61,'Data Cleaning'!$A$2:$P$142,13,FALSE)</f>
        <v>1</v>
      </c>
      <c r="H61" t="str">
        <f>VLOOKUP(A61,'Data Cleaning'!$A$2:$P$142,15,FALSE)</f>
        <v>Male</v>
      </c>
      <c r="I61" t="str">
        <f>VLOOKUP(A61,'Data Cleaning'!$A$2:$P$142,16,FALSE)</f>
        <v>user141@example.com</v>
      </c>
    </row>
    <row r="62" spans="1:9" x14ac:dyDescent="0.3">
      <c r="A62" s="8" t="s">
        <v>74</v>
      </c>
      <c r="B62" t="str">
        <f>VLOOKUP(A62,'Data Cleaning'!$A$2:$P$142,3,FALSE)</f>
        <v>Sam Wilson</v>
      </c>
      <c r="C62" t="str">
        <f>VLOOKUP(A62,'Data Cleaning'!$A$2:$P$142,5,FALSE)</f>
        <v>Finance</v>
      </c>
      <c r="D62" t="str">
        <f>VLOOKUP(A62,'Data Cleaning'!$A$2:$P$142,7,FALSE)</f>
        <v>India</v>
      </c>
      <c r="E62" s="7">
        <f>VLOOKUP(A62,'Data Cleaning'!$A$2:$P$142,9,FALSE)</f>
        <v>33468</v>
      </c>
      <c r="F62" s="6">
        <f>VLOOKUP(A62,'Data Cleaning'!$A$2:$P$142,11,FALSE)</f>
        <v>42463</v>
      </c>
      <c r="G62" s="5">
        <f>VLOOKUP(A62,'Data Cleaning'!$A$2:$P$142,13,FALSE)</f>
        <v>4</v>
      </c>
      <c r="H62" t="str">
        <f>VLOOKUP(A62,'Data Cleaning'!$A$2:$P$142,15,FALSE)</f>
        <v>Male</v>
      </c>
      <c r="I62" t="str">
        <f>VLOOKUP(A62,'Data Cleaning'!$A$2:$P$142,16,FALSE)</f>
        <v>user125@example.com</v>
      </c>
    </row>
    <row r="63" spans="1:9" x14ac:dyDescent="0.3">
      <c r="A63" s="9" t="s">
        <v>75</v>
      </c>
      <c r="B63" t="str">
        <f>VLOOKUP(A63,'Data Cleaning'!$A$2:$P$142,3,FALSE)</f>
        <v>Sam Wilson</v>
      </c>
      <c r="C63" t="str">
        <f>VLOOKUP(A63,'Data Cleaning'!$A$2:$P$142,5,FALSE)</f>
        <v>Marketing</v>
      </c>
      <c r="D63" t="str">
        <f>VLOOKUP(A63,'Data Cleaning'!$A$2:$P$142,7,FALSE)</f>
        <v>Australia</v>
      </c>
      <c r="E63" s="7">
        <f>VLOOKUP(A63,'Data Cleaning'!$A$2:$P$142,9,FALSE)</f>
        <v>96365</v>
      </c>
      <c r="F63" s="6">
        <f>VLOOKUP(A63,'Data Cleaning'!$A$2:$P$142,11,FALSE)</f>
        <v>42470</v>
      </c>
      <c r="G63" s="5">
        <f>VLOOKUP(A63,'Data Cleaning'!$A$2:$P$142,13,FALSE)</f>
        <v>3</v>
      </c>
      <c r="H63" t="str">
        <f>VLOOKUP(A63,'Data Cleaning'!$A$2:$P$142,15,FALSE)</f>
        <v>Other</v>
      </c>
      <c r="I63" t="str">
        <f>VLOOKUP(A63,'Data Cleaning'!$A$2:$P$142,16,FALSE)</f>
        <v>user90@example.com</v>
      </c>
    </row>
    <row r="64" spans="1:9" x14ac:dyDescent="0.3">
      <c r="A64" s="8" t="s">
        <v>76</v>
      </c>
      <c r="B64" t="str">
        <f>VLOOKUP(A64,'Data Cleaning'!$A$2:$P$142,3,FALSE)</f>
        <v>Alice Brown</v>
      </c>
      <c r="C64" t="str">
        <f>VLOOKUP(A64,'Data Cleaning'!$A$2:$P$142,5,FALSE)</f>
        <v>Sales</v>
      </c>
      <c r="D64" t="str">
        <f>VLOOKUP(A64,'Data Cleaning'!$A$2:$P$142,7,FALSE)</f>
        <v>India</v>
      </c>
      <c r="E64" s="7">
        <f>VLOOKUP(A64,'Data Cleaning'!$A$2:$P$142,9,FALSE)</f>
        <v>61942</v>
      </c>
      <c r="F64" s="6">
        <f>VLOOKUP(A64,'Data Cleaning'!$A$2:$P$142,11,FALSE)</f>
        <v>42477</v>
      </c>
      <c r="G64" s="5">
        <f>VLOOKUP(A64,'Data Cleaning'!$A$2:$P$142,13,FALSE)</f>
        <v>3</v>
      </c>
      <c r="H64" t="str">
        <f>VLOOKUP(A64,'Data Cleaning'!$A$2:$P$142,15,FALSE)</f>
        <v>Female</v>
      </c>
      <c r="I64" t="str">
        <f>VLOOKUP(A64,'Data Cleaning'!$A$2:$P$142,16,FALSE)</f>
        <v>user192@example.com</v>
      </c>
    </row>
    <row r="65" spans="1:9" x14ac:dyDescent="0.3">
      <c r="A65" s="9" t="s">
        <v>77</v>
      </c>
      <c r="B65" t="str">
        <f>VLOOKUP(A65,'Data Cleaning'!$A$2:$P$142,3,FALSE)</f>
        <v>Sam Wilson</v>
      </c>
      <c r="C65" t="str">
        <f>VLOOKUP(A65,'Data Cleaning'!$A$2:$P$142,5,FALSE)</f>
        <v>Finance</v>
      </c>
      <c r="D65" t="str">
        <f>VLOOKUP(A65,'Data Cleaning'!$A$2:$P$142,7,FALSE)</f>
        <v>UK</v>
      </c>
      <c r="E65" s="7">
        <f>VLOOKUP(A65,'Data Cleaning'!$A$2:$P$142,9,FALSE)</f>
        <v>41467</v>
      </c>
      <c r="F65" s="6">
        <f>VLOOKUP(A65,'Data Cleaning'!$A$2:$P$142,11,FALSE)</f>
        <v>42484</v>
      </c>
      <c r="G65" s="5">
        <f>VLOOKUP(A65,'Data Cleaning'!$A$2:$P$142,13,FALSE)</f>
        <v>2</v>
      </c>
      <c r="H65" t="str">
        <f>VLOOKUP(A65,'Data Cleaning'!$A$2:$P$142,15,FALSE)</f>
        <v>Female</v>
      </c>
      <c r="I65" t="str">
        <f>VLOOKUP(A65,'Data Cleaning'!$A$2:$P$142,16,FALSE)</f>
        <v>user77@example.com</v>
      </c>
    </row>
    <row r="66" spans="1:9" x14ac:dyDescent="0.3">
      <c r="A66" s="8" t="s">
        <v>78</v>
      </c>
      <c r="B66" t="str">
        <f>VLOOKUP(A66,'Data Cleaning'!$A$2:$P$142,3,FALSE)</f>
        <v>Bob Johnson</v>
      </c>
      <c r="C66" t="str">
        <f>VLOOKUP(A66,'Data Cleaning'!$A$2:$P$142,5,FALSE)</f>
        <v>Finance</v>
      </c>
      <c r="D66" t="str">
        <f>VLOOKUP(A66,'Data Cleaning'!$A$2:$P$142,7,FALSE)</f>
        <v>India</v>
      </c>
      <c r="E66" s="7">
        <f>VLOOKUP(A66,'Data Cleaning'!$A$2:$P$142,9,FALSE)</f>
        <v>77096</v>
      </c>
      <c r="F66" s="6">
        <f>VLOOKUP(A66,'Data Cleaning'!$A$2:$P$142,11,FALSE)</f>
        <v>42491</v>
      </c>
      <c r="G66" s="5">
        <f>VLOOKUP(A66,'Data Cleaning'!$A$2:$P$142,13,FALSE)</f>
        <v>1</v>
      </c>
      <c r="H66" t="str">
        <f>VLOOKUP(A66,'Data Cleaning'!$A$2:$P$142,15,FALSE)</f>
        <v>Female</v>
      </c>
      <c r="I66" t="str">
        <f>VLOOKUP(A66,'Data Cleaning'!$A$2:$P$142,16,FALSE)</f>
        <v>user65@example.com</v>
      </c>
    </row>
    <row r="67" spans="1:9" x14ac:dyDescent="0.3">
      <c r="A67" s="9" t="s">
        <v>79</v>
      </c>
      <c r="B67" t="str">
        <f>VLOOKUP(A67,'Data Cleaning'!$A$2:$P$142,3,FALSE)</f>
        <v>Eve Adams</v>
      </c>
      <c r="C67" t="str">
        <f>VLOOKUP(A67,'Data Cleaning'!$A$2:$P$142,5,FALSE)</f>
        <v>Sales</v>
      </c>
      <c r="D67" t="str">
        <f>VLOOKUP(A67,'Data Cleaning'!$A$2:$P$142,7,FALSE)</f>
        <v>Australia</v>
      </c>
      <c r="E67" s="7">
        <f>VLOOKUP(A67,'Data Cleaning'!$A$2:$P$142,9,FALSE)</f>
        <v>69952</v>
      </c>
      <c r="F67" s="6">
        <f>VLOOKUP(A67,'Data Cleaning'!$A$2:$P$142,11,FALSE)</f>
        <v>42498</v>
      </c>
      <c r="G67" s="5">
        <f>VLOOKUP(A67,'Data Cleaning'!$A$2:$P$142,13,FALSE)</f>
        <v>5</v>
      </c>
      <c r="H67" t="str">
        <f>VLOOKUP(A67,'Data Cleaning'!$A$2:$P$142,15,FALSE)</f>
        <v>Female</v>
      </c>
      <c r="I67" t="str">
        <f>VLOOKUP(A67,'Data Cleaning'!$A$2:$P$142,16,FALSE)</f>
        <v>invalid_email</v>
      </c>
    </row>
    <row r="68" spans="1:9" x14ac:dyDescent="0.3">
      <c r="A68" s="8" t="s">
        <v>80</v>
      </c>
      <c r="B68" t="str">
        <f>VLOOKUP(A68,'Data Cleaning'!$A$2:$P$142,3,FALSE)</f>
        <v>Eve Adams</v>
      </c>
      <c r="C68" t="str">
        <f>VLOOKUP(A68,'Data Cleaning'!$A$2:$P$142,5,FALSE)</f>
        <v>Marketing</v>
      </c>
      <c r="D68" t="str">
        <f>VLOOKUP(A68,'Data Cleaning'!$A$2:$P$142,7,FALSE)</f>
        <v>USA</v>
      </c>
      <c r="E68" s="7">
        <f>VLOOKUP(A68,'Data Cleaning'!$A$2:$P$142,9,FALSE)</f>
        <v>85065</v>
      </c>
      <c r="F68" s="6">
        <f>VLOOKUP(A68,'Data Cleaning'!$A$2:$P$142,11,FALSE)</f>
        <v>42505</v>
      </c>
      <c r="G68" s="5">
        <f>VLOOKUP(A68,'Data Cleaning'!$A$2:$P$142,13,FALSE)</f>
        <v>3</v>
      </c>
      <c r="H68" t="str">
        <f>VLOOKUP(A68,'Data Cleaning'!$A$2:$P$142,15,FALSE)</f>
        <v>Female</v>
      </c>
      <c r="I68" t="str">
        <f>VLOOKUP(A68,'Data Cleaning'!$A$2:$P$142,16,FALSE)</f>
        <v>user142@example.com</v>
      </c>
    </row>
    <row r="69" spans="1:9" x14ac:dyDescent="0.3">
      <c r="A69" s="9" t="s">
        <v>81</v>
      </c>
      <c r="B69" t="str">
        <f>VLOOKUP(A69,'Data Cleaning'!$A$2:$P$142,3,FALSE)</f>
        <v>Bob Johnson</v>
      </c>
      <c r="C69" t="str">
        <f>VLOOKUP(A69,'Data Cleaning'!$A$2:$P$142,5,FALSE)</f>
        <v>Marketing</v>
      </c>
      <c r="D69" t="str">
        <f>VLOOKUP(A69,'Data Cleaning'!$A$2:$P$142,7,FALSE)</f>
        <v>India</v>
      </c>
      <c r="E69" s="7">
        <f>VLOOKUP(A69,'Data Cleaning'!$A$2:$P$142,9,FALSE)</f>
        <v>56512</v>
      </c>
      <c r="F69" s="6">
        <f>VLOOKUP(A69,'Data Cleaning'!$A$2:$P$142,11,FALSE)</f>
        <v>42512</v>
      </c>
      <c r="G69" s="5">
        <f>VLOOKUP(A69,'Data Cleaning'!$A$2:$P$142,13,FALSE)</f>
        <v>2</v>
      </c>
      <c r="H69" t="str">
        <f>VLOOKUP(A69,'Data Cleaning'!$A$2:$P$142,15,FALSE)</f>
        <v>Other</v>
      </c>
      <c r="I69" t="str">
        <f>VLOOKUP(A69,'Data Cleaning'!$A$2:$P$142,16,FALSE)</f>
        <v>user153@example.com</v>
      </c>
    </row>
    <row r="70" spans="1:9" x14ac:dyDescent="0.3">
      <c r="A70" s="8" t="s">
        <v>82</v>
      </c>
      <c r="B70" t="str">
        <f>VLOOKUP(A70,'Data Cleaning'!$A$2:$P$142,3,FALSE)</f>
        <v>John Doe</v>
      </c>
      <c r="C70" t="str">
        <f>VLOOKUP(A70,'Data Cleaning'!$A$2:$P$142,5,FALSE)</f>
        <v>Sales</v>
      </c>
      <c r="D70" t="str">
        <f>VLOOKUP(A70,'Data Cleaning'!$A$2:$P$142,7,FALSE)</f>
        <v>India</v>
      </c>
      <c r="E70" s="7">
        <f>VLOOKUP(A70,'Data Cleaning'!$A$2:$P$142,9,FALSE)</f>
        <v>91101</v>
      </c>
      <c r="F70" s="6">
        <f>VLOOKUP(A70,'Data Cleaning'!$A$2:$P$142,11,FALSE)</f>
        <v>42519</v>
      </c>
      <c r="G70" s="5">
        <f>VLOOKUP(A70,'Data Cleaning'!$A$2:$P$142,13,FALSE)</f>
        <v>4</v>
      </c>
      <c r="H70" t="str">
        <f>VLOOKUP(A70,'Data Cleaning'!$A$2:$P$142,15,FALSE)</f>
        <v>Female</v>
      </c>
      <c r="I70" t="str">
        <f>VLOOKUP(A70,'Data Cleaning'!$A$2:$P$142,16,FALSE)</f>
        <v>user71@example.com</v>
      </c>
    </row>
    <row r="71" spans="1:9" x14ac:dyDescent="0.3">
      <c r="A71" s="9" t="s">
        <v>83</v>
      </c>
      <c r="B71" t="str">
        <f>VLOOKUP(A71,'Data Cleaning'!$A$2:$P$142,3,FALSE)</f>
        <v>Sam Wilson</v>
      </c>
      <c r="C71" t="str">
        <f>VLOOKUP(A71,'Data Cleaning'!$A$2:$P$142,5,FALSE)</f>
        <v>Marketing</v>
      </c>
      <c r="D71" t="str">
        <f>VLOOKUP(A71,'Data Cleaning'!$A$2:$P$142,7,FALSE)</f>
        <v>Germany</v>
      </c>
      <c r="E71" s="7">
        <f>VLOOKUP(A71,'Data Cleaning'!$A$2:$P$142,9,FALSE)</f>
        <v>41243</v>
      </c>
      <c r="F71" s="6">
        <f>VLOOKUP(A71,'Data Cleaning'!$A$2:$P$142,11,FALSE)</f>
        <v>42526</v>
      </c>
      <c r="G71" s="5">
        <f>VLOOKUP(A71,'Data Cleaning'!$A$2:$P$142,13,FALSE)</f>
        <v>2</v>
      </c>
      <c r="H71" t="str">
        <f>VLOOKUP(A71,'Data Cleaning'!$A$2:$P$142,15,FALSE)</f>
        <v>Female</v>
      </c>
      <c r="I71" t="str">
        <f>VLOOKUP(A71,'Data Cleaning'!$A$2:$P$142,16,FALSE)</f>
        <v>user143@example.com</v>
      </c>
    </row>
    <row r="72" spans="1:9" x14ac:dyDescent="0.3">
      <c r="A72" s="8" t="s">
        <v>84</v>
      </c>
      <c r="B72" t="str">
        <f>VLOOKUP(A72,'Data Cleaning'!$A$2:$P$142,3,FALSE)</f>
        <v>Unknown</v>
      </c>
      <c r="C72" t="str">
        <f>VLOOKUP(A72,'Data Cleaning'!$A$2:$P$142,5,FALSE)</f>
        <v>Sales</v>
      </c>
      <c r="D72" t="str">
        <f>VLOOKUP(A72,'Data Cleaning'!$A$2:$P$142,7,FALSE)</f>
        <v>India</v>
      </c>
      <c r="E72" s="7">
        <f>VLOOKUP(A72,'Data Cleaning'!$A$2:$P$142,9,FALSE)</f>
        <v>96142</v>
      </c>
      <c r="F72" s="6">
        <f>VLOOKUP(A72,'Data Cleaning'!$A$2:$P$142,11,FALSE)</f>
        <v>42533</v>
      </c>
      <c r="G72" s="5">
        <f>VLOOKUP(A72,'Data Cleaning'!$A$2:$P$142,13,FALSE)</f>
        <v>1</v>
      </c>
      <c r="H72" t="str">
        <f>VLOOKUP(A72,'Data Cleaning'!$A$2:$P$142,15,FALSE)</f>
        <v>Other</v>
      </c>
      <c r="I72" t="str">
        <f>VLOOKUP(A72,'Data Cleaning'!$A$2:$P$142,16,FALSE)</f>
        <v>user17@example.com</v>
      </c>
    </row>
    <row r="73" spans="1:9" x14ac:dyDescent="0.3">
      <c r="A73" s="9" t="s">
        <v>85</v>
      </c>
      <c r="B73" t="str">
        <f>VLOOKUP(A73,'Data Cleaning'!$A$2:$P$142,3,FALSE)</f>
        <v>Eve Adams</v>
      </c>
      <c r="C73" t="str">
        <f>VLOOKUP(A73,'Data Cleaning'!$A$2:$P$142,5,FALSE)</f>
        <v>IT</v>
      </c>
      <c r="D73" t="str">
        <f>VLOOKUP(A73,'Data Cleaning'!$A$2:$P$142,7,FALSE)</f>
        <v>India</v>
      </c>
      <c r="E73" s="7">
        <f>VLOOKUP(A73,'Data Cleaning'!$A$2:$P$142,9,FALSE)</f>
        <v>94301</v>
      </c>
      <c r="F73" s="6">
        <f>VLOOKUP(A73,'Data Cleaning'!$A$2:$P$142,11,FALSE)</f>
        <v>42540</v>
      </c>
      <c r="G73" s="5">
        <f>VLOOKUP(A73,'Data Cleaning'!$A$2:$P$142,13,FALSE)</f>
        <v>1</v>
      </c>
      <c r="H73" t="str">
        <f>VLOOKUP(A73,'Data Cleaning'!$A$2:$P$142,15,FALSE)</f>
        <v>Male</v>
      </c>
      <c r="I73" t="str">
        <f>VLOOKUP(A73,'Data Cleaning'!$A$2:$P$142,16,FALSE)</f>
        <v>user20@example.com</v>
      </c>
    </row>
    <row r="74" spans="1:9" x14ac:dyDescent="0.3">
      <c r="A74" s="8" t="s">
        <v>86</v>
      </c>
      <c r="B74" t="str">
        <f>VLOOKUP(A74,'Data Cleaning'!$A$2:$P$142,3,FALSE)</f>
        <v>Jane Smith</v>
      </c>
      <c r="C74" t="str">
        <f>VLOOKUP(A74,'Data Cleaning'!$A$2:$P$142,5,FALSE)</f>
        <v>Marketing</v>
      </c>
      <c r="D74" t="str">
        <f>VLOOKUP(A74,'Data Cleaning'!$A$2:$P$142,7,FALSE)</f>
        <v>UK</v>
      </c>
      <c r="E74" s="7">
        <f>VLOOKUP(A74,'Data Cleaning'!$A$2:$P$142,9,FALSE)</f>
        <v>69166</v>
      </c>
      <c r="F74" s="6">
        <f>VLOOKUP(A74,'Data Cleaning'!$A$2:$P$142,11,FALSE)</f>
        <v>42547</v>
      </c>
      <c r="G74" s="5">
        <f>VLOOKUP(A74,'Data Cleaning'!$A$2:$P$142,13,FALSE)</f>
        <v>1</v>
      </c>
      <c r="H74" t="str">
        <f>VLOOKUP(A74,'Data Cleaning'!$A$2:$P$142,15,FALSE)</f>
        <v>Female</v>
      </c>
      <c r="I74" t="str">
        <f>VLOOKUP(A74,'Data Cleaning'!$A$2:$P$142,16,FALSE)</f>
        <v>user22@example.com</v>
      </c>
    </row>
    <row r="75" spans="1:9" x14ac:dyDescent="0.3">
      <c r="A75" s="9" t="s">
        <v>87</v>
      </c>
      <c r="B75" t="str">
        <f>VLOOKUP(A75,'Data Cleaning'!$A$2:$P$142,3,FALSE)</f>
        <v>Sam Wilson</v>
      </c>
      <c r="C75" t="str">
        <f>VLOOKUP(A75,'Data Cleaning'!$A$2:$P$142,5,FALSE)</f>
        <v>Marketing</v>
      </c>
      <c r="D75" t="str">
        <f>VLOOKUP(A75,'Data Cleaning'!$A$2:$P$142,7,FALSE)</f>
        <v>UK</v>
      </c>
      <c r="E75" s="7">
        <f>VLOOKUP(A75,'Data Cleaning'!$A$2:$P$142,9,FALSE)</f>
        <v>78245</v>
      </c>
      <c r="F75" s="6">
        <f>VLOOKUP(A75,'Data Cleaning'!$A$2:$P$142,11,FALSE)</f>
        <v>42554</v>
      </c>
      <c r="G75" s="5">
        <f>VLOOKUP(A75,'Data Cleaning'!$A$2:$P$142,13,FALSE)</f>
        <v>2</v>
      </c>
      <c r="H75" t="str">
        <f>VLOOKUP(A75,'Data Cleaning'!$A$2:$P$142,15,FALSE)</f>
        <v>Female</v>
      </c>
      <c r="I75" t="str">
        <f>VLOOKUP(A75,'Data Cleaning'!$A$2:$P$142,16,FALSE)</f>
        <v>user46@example.com</v>
      </c>
    </row>
    <row r="76" spans="1:9" x14ac:dyDescent="0.3">
      <c r="A76" s="8" t="s">
        <v>88</v>
      </c>
      <c r="B76" t="str">
        <f>VLOOKUP(A76,'Data Cleaning'!$A$2:$P$142,3,FALSE)</f>
        <v>Chris Lee</v>
      </c>
      <c r="C76" t="str">
        <f>VLOOKUP(A76,'Data Cleaning'!$A$2:$P$142,5,FALSE)</f>
        <v>Sales</v>
      </c>
      <c r="D76" t="str">
        <f>VLOOKUP(A76,'Data Cleaning'!$A$2:$P$142,7,FALSE)</f>
        <v>USA</v>
      </c>
      <c r="E76" s="7">
        <f>VLOOKUP(A76,'Data Cleaning'!$A$2:$P$142,9,FALSE)</f>
        <v>66079</v>
      </c>
      <c r="F76" s="6">
        <f>VLOOKUP(A76,'Data Cleaning'!$A$2:$P$142,11,FALSE)</f>
        <v>42561</v>
      </c>
      <c r="G76" s="5">
        <f>VLOOKUP(A76,'Data Cleaning'!$A$2:$P$142,13,FALSE)</f>
        <v>2</v>
      </c>
      <c r="H76" t="str">
        <f>VLOOKUP(A76,'Data Cleaning'!$A$2:$P$142,15,FALSE)</f>
        <v>Other</v>
      </c>
      <c r="I76" t="str">
        <f>VLOOKUP(A76,'Data Cleaning'!$A$2:$P$142,16,FALSE)</f>
        <v>user55@example.com</v>
      </c>
    </row>
    <row r="77" spans="1:9" x14ac:dyDescent="0.3">
      <c r="A77" s="9" t="s">
        <v>90</v>
      </c>
      <c r="B77" t="str">
        <f>VLOOKUP(A77,'Data Cleaning'!$A$2:$P$142,3,FALSE)</f>
        <v>Jane Smith</v>
      </c>
      <c r="C77" t="str">
        <f>VLOOKUP(A77,'Data Cleaning'!$A$2:$P$142,5,FALSE)</f>
        <v>Sales</v>
      </c>
      <c r="D77" t="str">
        <f>VLOOKUP(A77,'Data Cleaning'!$A$2:$P$142,7,FALSE)</f>
        <v>USA</v>
      </c>
      <c r="E77" s="7">
        <f>VLOOKUP(A77,'Data Cleaning'!$A$2:$P$142,9,FALSE)</f>
        <v>95621</v>
      </c>
      <c r="F77" s="6">
        <f>VLOOKUP(A77,'Data Cleaning'!$A$2:$P$142,11,FALSE)</f>
        <v>42575</v>
      </c>
      <c r="G77" s="5">
        <f>VLOOKUP(A77,'Data Cleaning'!$A$2:$P$142,13,FALSE)</f>
        <v>3</v>
      </c>
      <c r="H77" t="str">
        <f>VLOOKUP(A77,'Data Cleaning'!$A$2:$P$142,15,FALSE)</f>
        <v>Female</v>
      </c>
      <c r="I77" t="str">
        <f>VLOOKUP(A77,'Data Cleaning'!$A$2:$P$142,16,FALSE)</f>
        <v>user156@example.com</v>
      </c>
    </row>
    <row r="78" spans="1:9" x14ac:dyDescent="0.3">
      <c r="A78" s="8" t="s">
        <v>91</v>
      </c>
      <c r="B78" t="str">
        <f>VLOOKUP(A78,'Data Cleaning'!$A$2:$P$142,3,FALSE)</f>
        <v>Eve Adams</v>
      </c>
      <c r="C78" t="str">
        <f>VLOOKUP(A78,'Data Cleaning'!$A$2:$P$142,5,FALSE)</f>
        <v>IT</v>
      </c>
      <c r="D78" t="str">
        <f>VLOOKUP(A78,'Data Cleaning'!$A$2:$P$142,7,FALSE)</f>
        <v>UK</v>
      </c>
      <c r="E78" s="7">
        <f>VLOOKUP(A78,'Data Cleaning'!$A$2:$P$142,9,FALSE)</f>
        <v>42262</v>
      </c>
      <c r="F78" s="6">
        <f>VLOOKUP(A78,'Data Cleaning'!$A$2:$P$142,11,FALSE)</f>
        <v>42582</v>
      </c>
      <c r="G78" s="5">
        <f>VLOOKUP(A78,'Data Cleaning'!$A$2:$P$142,13,FALSE)</f>
        <v>1</v>
      </c>
      <c r="H78" t="str">
        <f>VLOOKUP(A78,'Data Cleaning'!$A$2:$P$142,15,FALSE)</f>
        <v>Female</v>
      </c>
      <c r="I78" t="str">
        <f>VLOOKUP(A78,'Data Cleaning'!$A$2:$P$142,16,FALSE)</f>
        <v>user104@example.com</v>
      </c>
    </row>
    <row r="79" spans="1:9" x14ac:dyDescent="0.3">
      <c r="A79" s="9" t="s">
        <v>92</v>
      </c>
      <c r="B79" t="str">
        <f>VLOOKUP(A79,'Data Cleaning'!$A$2:$P$142,3,FALSE)</f>
        <v>Sam Wilson</v>
      </c>
      <c r="C79" t="str">
        <f>VLOOKUP(A79,'Data Cleaning'!$A$2:$P$142,5,FALSE)</f>
        <v>Sales</v>
      </c>
      <c r="D79" t="str">
        <f>VLOOKUP(A79,'Data Cleaning'!$A$2:$P$142,7,FALSE)</f>
        <v>India</v>
      </c>
      <c r="E79" s="7">
        <f>VLOOKUP(A79,'Data Cleaning'!$A$2:$P$142,9,FALSE)</f>
        <v>99621</v>
      </c>
      <c r="F79" s="6">
        <f>VLOOKUP(A79,'Data Cleaning'!$A$2:$P$142,11,FALSE)</f>
        <v>42589</v>
      </c>
      <c r="G79" s="5">
        <f>VLOOKUP(A79,'Data Cleaning'!$A$2:$P$142,13,FALSE)</f>
        <v>2</v>
      </c>
      <c r="H79" t="str">
        <f>VLOOKUP(A79,'Data Cleaning'!$A$2:$P$142,15,FALSE)</f>
        <v>Other</v>
      </c>
      <c r="I79" t="str">
        <f>VLOOKUP(A79,'Data Cleaning'!$A$2:$P$142,16,FALSE)</f>
        <v>user145@example.com</v>
      </c>
    </row>
    <row r="80" spans="1:9" x14ac:dyDescent="0.3">
      <c r="A80" s="8" t="s">
        <v>93</v>
      </c>
      <c r="B80" t="str">
        <f>VLOOKUP(A80,'Data Cleaning'!$A$2:$P$142,3,FALSE)</f>
        <v>John Doe</v>
      </c>
      <c r="C80" t="str">
        <f>VLOOKUP(A80,'Data Cleaning'!$A$2:$P$142,5,FALSE)</f>
        <v>Marketing</v>
      </c>
      <c r="D80" t="str">
        <f>VLOOKUP(A80,'Data Cleaning'!$A$2:$P$142,7,FALSE)</f>
        <v>India</v>
      </c>
      <c r="E80" s="7">
        <f>VLOOKUP(A80,'Data Cleaning'!$A$2:$P$142,9,FALSE)</f>
        <v>44682</v>
      </c>
      <c r="F80" s="6">
        <f>VLOOKUP(A80,'Data Cleaning'!$A$2:$P$142,11,FALSE)</f>
        <v>42596</v>
      </c>
      <c r="G80" s="5">
        <f>VLOOKUP(A80,'Data Cleaning'!$A$2:$P$142,13,FALSE)</f>
        <v>4</v>
      </c>
      <c r="H80" t="str">
        <f>VLOOKUP(A80,'Data Cleaning'!$A$2:$P$142,15,FALSE)</f>
        <v>Female</v>
      </c>
      <c r="I80" t="str">
        <f>VLOOKUP(A80,'Data Cleaning'!$A$2:$P$142,16,FALSE)</f>
        <v>user47@example.com</v>
      </c>
    </row>
    <row r="81" spans="1:9" x14ac:dyDescent="0.3">
      <c r="A81" s="9" t="s">
        <v>94</v>
      </c>
      <c r="B81" t="str">
        <f>VLOOKUP(A81,'Data Cleaning'!$A$2:$P$142,3,FALSE)</f>
        <v>Chris Lee</v>
      </c>
      <c r="C81" t="str">
        <f>VLOOKUP(A81,'Data Cleaning'!$A$2:$P$142,5,FALSE)</f>
        <v>Finance</v>
      </c>
      <c r="D81" t="str">
        <f>VLOOKUP(A81,'Data Cleaning'!$A$2:$P$142,7,FALSE)</f>
        <v>India</v>
      </c>
      <c r="E81" s="7">
        <f>VLOOKUP(A81,'Data Cleaning'!$A$2:$P$142,9,FALSE)</f>
        <v>35163</v>
      </c>
      <c r="F81" s="6">
        <f>VLOOKUP(A81,'Data Cleaning'!$A$2:$P$142,11,FALSE)</f>
        <v>42603</v>
      </c>
      <c r="G81" s="5">
        <f>VLOOKUP(A81,'Data Cleaning'!$A$2:$P$142,13,FALSE)</f>
        <v>5</v>
      </c>
      <c r="H81" t="str">
        <f>VLOOKUP(A81,'Data Cleaning'!$A$2:$P$142,15,FALSE)</f>
        <v>Other</v>
      </c>
      <c r="I81" t="str">
        <f>VLOOKUP(A81,'Data Cleaning'!$A$2:$P$142,16,FALSE)</f>
        <v>user197@example.com</v>
      </c>
    </row>
    <row r="82" spans="1:9" x14ac:dyDescent="0.3">
      <c r="A82" s="8" t="s">
        <v>95</v>
      </c>
      <c r="B82" t="str">
        <f>VLOOKUP(A82,'Data Cleaning'!$A$2:$P$142,3,FALSE)</f>
        <v>Chris Lee</v>
      </c>
      <c r="C82" t="str">
        <f>VLOOKUP(A82,'Data Cleaning'!$A$2:$P$142,5,FALSE)</f>
        <v>IT</v>
      </c>
      <c r="D82" t="str">
        <f>VLOOKUP(A82,'Data Cleaning'!$A$2:$P$142,7,FALSE)</f>
        <v>India</v>
      </c>
      <c r="E82" s="7">
        <f>VLOOKUP(A82,'Data Cleaning'!$A$2:$P$142,9,FALSE)</f>
        <v>33483</v>
      </c>
      <c r="F82" s="6">
        <f>VLOOKUP(A82,'Data Cleaning'!$A$2:$P$142,11,FALSE)</f>
        <v>42610</v>
      </c>
      <c r="G82" s="5">
        <f>VLOOKUP(A82,'Data Cleaning'!$A$2:$P$142,13,FALSE)</f>
        <v>4</v>
      </c>
      <c r="H82" t="str">
        <f>VLOOKUP(A82,'Data Cleaning'!$A$2:$P$142,15,FALSE)</f>
        <v>Male</v>
      </c>
      <c r="I82" t="str">
        <f>VLOOKUP(A82,'Data Cleaning'!$A$2:$P$142,16,FALSE)</f>
        <v>user177@example.com</v>
      </c>
    </row>
    <row r="83" spans="1:9" x14ac:dyDescent="0.3">
      <c r="A83" s="9" t="s">
        <v>96</v>
      </c>
      <c r="B83" t="str">
        <f>VLOOKUP(A83,'Data Cleaning'!$A$2:$P$142,3,FALSE)</f>
        <v>Sam Wilson</v>
      </c>
      <c r="C83" t="str">
        <f>VLOOKUP(A83,'Data Cleaning'!$A$2:$P$142,5,FALSE)</f>
        <v>HR</v>
      </c>
      <c r="D83" t="str">
        <f>VLOOKUP(A83,'Data Cleaning'!$A$2:$P$142,7,FALSE)</f>
        <v>Germany</v>
      </c>
      <c r="E83" s="7">
        <f>VLOOKUP(A83,'Data Cleaning'!$A$2:$P$142,9,FALSE)</f>
        <v>55303</v>
      </c>
      <c r="F83" s="6">
        <f>VLOOKUP(A83,'Data Cleaning'!$A$2:$P$142,11,FALSE)</f>
        <v>42617</v>
      </c>
      <c r="G83" s="5">
        <f>VLOOKUP(A83,'Data Cleaning'!$A$2:$P$142,13,FALSE)</f>
        <v>4</v>
      </c>
      <c r="H83" t="str">
        <f>VLOOKUP(A83,'Data Cleaning'!$A$2:$P$142,15,FALSE)</f>
        <v>Male</v>
      </c>
      <c r="I83" t="str">
        <f>VLOOKUP(A83,'Data Cleaning'!$A$2:$P$142,16,FALSE)</f>
        <v>user149@example.com</v>
      </c>
    </row>
    <row r="84" spans="1:9" x14ac:dyDescent="0.3">
      <c r="A84" s="8" t="s">
        <v>97</v>
      </c>
      <c r="B84" t="str">
        <f>VLOOKUP(A84,'Data Cleaning'!$A$2:$P$142,3,FALSE)</f>
        <v>Chris Lee</v>
      </c>
      <c r="C84" t="str">
        <f>VLOOKUP(A84,'Data Cleaning'!$A$2:$P$142,5,FALSE)</f>
        <v>IT</v>
      </c>
      <c r="D84" t="str">
        <f>VLOOKUP(A84,'Data Cleaning'!$A$2:$P$142,7,FALSE)</f>
        <v>India</v>
      </c>
      <c r="E84" s="7">
        <f>VLOOKUP(A84,'Data Cleaning'!$A$2:$P$142,9,FALSE)</f>
        <v>63434</v>
      </c>
      <c r="F84" s="6">
        <f>VLOOKUP(A84,'Data Cleaning'!$A$2:$P$142,11,FALSE)</f>
        <v>42624</v>
      </c>
      <c r="G84" s="5">
        <f>VLOOKUP(A84,'Data Cleaning'!$A$2:$P$142,13,FALSE)</f>
        <v>3</v>
      </c>
      <c r="H84" t="str">
        <f>VLOOKUP(A84,'Data Cleaning'!$A$2:$P$142,15,FALSE)</f>
        <v>Female</v>
      </c>
      <c r="I84" t="str">
        <f>VLOOKUP(A84,'Data Cleaning'!$A$2:$P$142,16,FALSE)</f>
        <v>user48@example.com</v>
      </c>
    </row>
    <row r="85" spans="1:9" x14ac:dyDescent="0.3">
      <c r="A85" s="9" t="s">
        <v>98</v>
      </c>
      <c r="B85" t="str">
        <f>VLOOKUP(A85,'Data Cleaning'!$A$2:$P$142,3,FALSE)</f>
        <v>Jane Smith</v>
      </c>
      <c r="C85" t="str">
        <f>VLOOKUP(A85,'Data Cleaning'!$A$2:$P$142,5,FALSE)</f>
        <v>Marketing</v>
      </c>
      <c r="D85" t="str">
        <f>VLOOKUP(A85,'Data Cleaning'!$A$2:$P$142,7,FALSE)</f>
        <v>Australia</v>
      </c>
      <c r="E85" s="7">
        <f>VLOOKUP(A85,'Data Cleaning'!$A$2:$P$142,9,FALSE)</f>
        <v>38830</v>
      </c>
      <c r="F85" s="6">
        <f>VLOOKUP(A85,'Data Cleaning'!$A$2:$P$142,11,FALSE)</f>
        <v>42631</v>
      </c>
      <c r="G85" s="5">
        <f>VLOOKUP(A85,'Data Cleaning'!$A$2:$P$142,13,FALSE)</f>
        <v>3</v>
      </c>
      <c r="H85" t="str">
        <f>VLOOKUP(A85,'Data Cleaning'!$A$2:$P$142,15,FALSE)</f>
        <v>Other</v>
      </c>
      <c r="I85" t="str">
        <f>VLOOKUP(A85,'Data Cleaning'!$A$2:$P$142,16,FALSE)</f>
        <v>user149@example.com</v>
      </c>
    </row>
    <row r="86" spans="1:9" x14ac:dyDescent="0.3">
      <c r="A86" s="8" t="s">
        <v>99</v>
      </c>
      <c r="B86" t="str">
        <f>VLOOKUP(A86,'Data Cleaning'!$A$2:$P$142,3,FALSE)</f>
        <v>Unknown</v>
      </c>
      <c r="C86" t="str">
        <f>VLOOKUP(A86,'Data Cleaning'!$A$2:$P$142,5,FALSE)</f>
        <v>Marketing</v>
      </c>
      <c r="D86" t="str">
        <f>VLOOKUP(A86,'Data Cleaning'!$A$2:$P$142,7,FALSE)</f>
        <v>UK</v>
      </c>
      <c r="E86" s="7">
        <f>VLOOKUP(A86,'Data Cleaning'!$A$2:$P$142,9,FALSE)</f>
        <v>50741</v>
      </c>
      <c r="F86" s="6">
        <f>VLOOKUP(A86,'Data Cleaning'!$A$2:$P$142,11,FALSE)</f>
        <v>42638</v>
      </c>
      <c r="G86" s="5">
        <f>VLOOKUP(A86,'Data Cleaning'!$A$2:$P$142,13,FALSE)</f>
        <v>3</v>
      </c>
      <c r="H86" t="str">
        <f>VLOOKUP(A86,'Data Cleaning'!$A$2:$P$142,15,FALSE)</f>
        <v>Unknown</v>
      </c>
      <c r="I86" t="str">
        <f>VLOOKUP(A86,'Data Cleaning'!$A$2:$P$142,16,FALSE)</f>
        <v>user65@example.com</v>
      </c>
    </row>
    <row r="87" spans="1:9" x14ac:dyDescent="0.3">
      <c r="A87" s="9" t="s">
        <v>100</v>
      </c>
      <c r="B87" t="str">
        <f>VLOOKUP(A87,'Data Cleaning'!$A$2:$P$142,3,FALSE)</f>
        <v>Alice Brown</v>
      </c>
      <c r="C87" t="str">
        <f>VLOOKUP(A87,'Data Cleaning'!$A$2:$P$142,5,FALSE)</f>
        <v>HR</v>
      </c>
      <c r="D87" t="str">
        <f>VLOOKUP(A87,'Data Cleaning'!$A$2:$P$142,7,FALSE)</f>
        <v>Australia</v>
      </c>
      <c r="E87" s="7">
        <f>VLOOKUP(A87,'Data Cleaning'!$A$2:$P$142,9,FALSE)</f>
        <v>69420</v>
      </c>
      <c r="F87" s="6">
        <f>VLOOKUP(A87,'Data Cleaning'!$A$2:$P$142,11,FALSE)</f>
        <v>42645</v>
      </c>
      <c r="G87" s="5">
        <f>VLOOKUP(A87,'Data Cleaning'!$A$2:$P$142,13,FALSE)</f>
        <v>1</v>
      </c>
      <c r="H87" t="str">
        <f>VLOOKUP(A87,'Data Cleaning'!$A$2:$P$142,15,FALSE)</f>
        <v>Male</v>
      </c>
      <c r="I87" t="str">
        <f>VLOOKUP(A87,'Data Cleaning'!$A$2:$P$142,16,FALSE)</f>
        <v>user43@example.com</v>
      </c>
    </row>
    <row r="88" spans="1:9" x14ac:dyDescent="0.3">
      <c r="A88" s="8" t="s">
        <v>101</v>
      </c>
      <c r="B88" t="str">
        <f>VLOOKUP(A88,'Data Cleaning'!$A$2:$P$142,3,FALSE)</f>
        <v>Jane Smith</v>
      </c>
      <c r="C88" t="str">
        <f>VLOOKUP(A88,'Data Cleaning'!$A$2:$P$142,5,FALSE)</f>
        <v>IT</v>
      </c>
      <c r="D88" t="str">
        <f>VLOOKUP(A88,'Data Cleaning'!$A$2:$P$142,7,FALSE)</f>
        <v>India</v>
      </c>
      <c r="E88" s="7">
        <f>VLOOKUP(A88,'Data Cleaning'!$A$2:$P$142,9,FALSE)</f>
        <v>80588</v>
      </c>
      <c r="F88" s="6">
        <f>VLOOKUP(A88,'Data Cleaning'!$A$2:$P$142,11,FALSE)</f>
        <v>42652</v>
      </c>
      <c r="G88" s="5">
        <f>VLOOKUP(A88,'Data Cleaning'!$A$2:$P$142,13,FALSE)</f>
        <v>5</v>
      </c>
      <c r="H88" t="str">
        <f>VLOOKUP(A88,'Data Cleaning'!$A$2:$P$142,15,FALSE)</f>
        <v>Male</v>
      </c>
      <c r="I88" t="str">
        <f>VLOOKUP(A88,'Data Cleaning'!$A$2:$P$142,16,FALSE)</f>
        <v>user98@example.com</v>
      </c>
    </row>
    <row r="89" spans="1:9" x14ac:dyDescent="0.3">
      <c r="A89" s="9" t="s">
        <v>102</v>
      </c>
      <c r="B89" t="str">
        <f>VLOOKUP(A89,'Data Cleaning'!$A$2:$P$142,3,FALSE)</f>
        <v>Alice Brown</v>
      </c>
      <c r="C89" t="str">
        <f>VLOOKUP(A89,'Data Cleaning'!$A$2:$P$142,5,FALSE)</f>
        <v>Marketing</v>
      </c>
      <c r="D89" t="str">
        <f>VLOOKUP(A89,'Data Cleaning'!$A$2:$P$142,7,FALSE)</f>
        <v>USA</v>
      </c>
      <c r="E89" s="7">
        <f>VLOOKUP(A89,'Data Cleaning'!$A$2:$P$142,9,FALSE)</f>
        <v>76238</v>
      </c>
      <c r="F89" s="6">
        <f>VLOOKUP(A89,'Data Cleaning'!$A$2:$P$142,11,FALSE)</f>
        <v>42659</v>
      </c>
      <c r="G89" s="5">
        <f>VLOOKUP(A89,'Data Cleaning'!$A$2:$P$142,13,FALSE)</f>
        <v>4</v>
      </c>
      <c r="H89" t="str">
        <f>VLOOKUP(A89,'Data Cleaning'!$A$2:$P$142,15,FALSE)</f>
        <v>Male</v>
      </c>
      <c r="I89" t="str">
        <f>VLOOKUP(A89,'Data Cleaning'!$A$2:$P$142,16,FALSE)</f>
        <v>user102@example.com</v>
      </c>
    </row>
    <row r="90" spans="1:9" x14ac:dyDescent="0.3">
      <c r="A90" s="8" t="s">
        <v>103</v>
      </c>
      <c r="B90" t="str">
        <f>VLOOKUP(A90,'Data Cleaning'!$A$2:$P$142,3,FALSE)</f>
        <v>Bob Johnson</v>
      </c>
      <c r="C90" t="str">
        <f>VLOOKUP(A90,'Data Cleaning'!$A$2:$P$142,5,FALSE)</f>
        <v>IT</v>
      </c>
      <c r="D90" t="str">
        <f>VLOOKUP(A90,'Data Cleaning'!$A$2:$P$142,7,FALSE)</f>
        <v>India</v>
      </c>
      <c r="E90" s="7">
        <f>VLOOKUP(A90,'Data Cleaning'!$A$2:$P$142,9,FALSE)</f>
        <v>33264</v>
      </c>
      <c r="F90" s="6">
        <f>VLOOKUP(A90,'Data Cleaning'!$A$2:$P$142,11,FALSE)</f>
        <v>42666</v>
      </c>
      <c r="G90" s="5">
        <f>VLOOKUP(A90,'Data Cleaning'!$A$2:$P$142,13,FALSE)</f>
        <v>2</v>
      </c>
      <c r="H90" t="str">
        <f>VLOOKUP(A90,'Data Cleaning'!$A$2:$P$142,15,FALSE)</f>
        <v>Female</v>
      </c>
      <c r="I90" t="str">
        <f>VLOOKUP(A90,'Data Cleaning'!$A$2:$P$142,16,FALSE)</f>
        <v>user148@example.com</v>
      </c>
    </row>
    <row r="91" spans="1:9" x14ac:dyDescent="0.3">
      <c r="A91" s="9" t="s">
        <v>104</v>
      </c>
      <c r="B91" t="str">
        <f>VLOOKUP(A91,'Data Cleaning'!$A$2:$P$142,3,FALSE)</f>
        <v>Alice Brown</v>
      </c>
      <c r="C91" t="str">
        <f>VLOOKUP(A91,'Data Cleaning'!$A$2:$P$142,5,FALSE)</f>
        <v>Finance</v>
      </c>
      <c r="D91" t="str">
        <f>VLOOKUP(A91,'Data Cleaning'!$A$2:$P$142,7,FALSE)</f>
        <v>Australia</v>
      </c>
      <c r="E91" s="7">
        <f>VLOOKUP(A91,'Data Cleaning'!$A$2:$P$142,9,FALSE)</f>
        <v>96101</v>
      </c>
      <c r="F91" s="6">
        <f>VLOOKUP(A91,'Data Cleaning'!$A$2:$P$142,11,FALSE)</f>
        <v>42673</v>
      </c>
      <c r="G91" s="5">
        <f>VLOOKUP(A91,'Data Cleaning'!$A$2:$P$142,13,FALSE)</f>
        <v>2</v>
      </c>
      <c r="H91" t="str">
        <f>VLOOKUP(A91,'Data Cleaning'!$A$2:$P$142,15,FALSE)</f>
        <v>Other</v>
      </c>
      <c r="I91" t="str">
        <f>VLOOKUP(A91,'Data Cleaning'!$A$2:$P$142,16,FALSE)</f>
        <v>user155@example.com</v>
      </c>
    </row>
    <row r="92" spans="1:9" x14ac:dyDescent="0.3">
      <c r="A92" s="8" t="s">
        <v>105</v>
      </c>
      <c r="B92" t="str">
        <f>VLOOKUP(A92,'Data Cleaning'!$A$2:$P$142,3,FALSE)</f>
        <v>Jane Smith</v>
      </c>
      <c r="C92" t="str">
        <f>VLOOKUP(A92,'Data Cleaning'!$A$2:$P$142,5,FALSE)</f>
        <v>Finance</v>
      </c>
      <c r="D92" t="str">
        <f>VLOOKUP(A92,'Data Cleaning'!$A$2:$P$142,7,FALSE)</f>
        <v>USA</v>
      </c>
      <c r="E92" s="7">
        <f>VLOOKUP(A92,'Data Cleaning'!$A$2:$P$142,9,FALSE)</f>
        <v>72939</v>
      </c>
      <c r="F92" s="6">
        <f>VLOOKUP(A92,'Data Cleaning'!$A$2:$P$142,11,FALSE)</f>
        <v>42680</v>
      </c>
      <c r="G92" s="5">
        <f>VLOOKUP(A92,'Data Cleaning'!$A$2:$P$142,13,FALSE)</f>
        <v>3</v>
      </c>
      <c r="H92" t="str">
        <f>VLOOKUP(A92,'Data Cleaning'!$A$2:$P$142,15,FALSE)</f>
        <v>Female</v>
      </c>
      <c r="I92" t="str">
        <f>VLOOKUP(A92,'Data Cleaning'!$A$2:$P$142,16,FALSE)</f>
        <v>user191@example.com</v>
      </c>
    </row>
    <row r="93" spans="1:9" x14ac:dyDescent="0.3">
      <c r="A93" s="9" t="s">
        <v>106</v>
      </c>
      <c r="B93" t="str">
        <f>VLOOKUP(A93,'Data Cleaning'!$A$2:$P$142,3,FALSE)</f>
        <v>Sam Wilson</v>
      </c>
      <c r="C93" t="str">
        <f>VLOOKUP(A93,'Data Cleaning'!$A$2:$P$142,5,FALSE)</f>
        <v>HR</v>
      </c>
      <c r="D93" t="str">
        <f>VLOOKUP(A93,'Data Cleaning'!$A$2:$P$142,7,FALSE)</f>
        <v>Germany</v>
      </c>
      <c r="E93" s="7">
        <f>VLOOKUP(A93,'Data Cleaning'!$A$2:$P$142,9,FALSE)</f>
        <v>89333</v>
      </c>
      <c r="F93" s="6">
        <f>VLOOKUP(A93,'Data Cleaning'!$A$2:$P$142,11,FALSE)</f>
        <v>42687</v>
      </c>
      <c r="G93" s="5">
        <f>VLOOKUP(A93,'Data Cleaning'!$A$2:$P$142,13,FALSE)</f>
        <v>1</v>
      </c>
      <c r="H93" t="str">
        <f>VLOOKUP(A93,'Data Cleaning'!$A$2:$P$142,15,FALSE)</f>
        <v>Male</v>
      </c>
      <c r="I93" t="str">
        <f>VLOOKUP(A93,'Data Cleaning'!$A$2:$P$142,16,FALSE)</f>
        <v>user113@example.com</v>
      </c>
    </row>
    <row r="94" spans="1:9" x14ac:dyDescent="0.3">
      <c r="A94" s="8" t="s">
        <v>107</v>
      </c>
      <c r="B94" t="str">
        <f>VLOOKUP(A94,'Data Cleaning'!$A$2:$P$142,3,FALSE)</f>
        <v>Bob Johnson</v>
      </c>
      <c r="C94" t="str">
        <f>VLOOKUP(A94,'Data Cleaning'!$A$2:$P$142,5,FALSE)</f>
        <v>IT</v>
      </c>
      <c r="D94" t="str">
        <f>VLOOKUP(A94,'Data Cleaning'!$A$2:$P$142,7,FALSE)</f>
        <v>Australia</v>
      </c>
      <c r="E94" s="7">
        <f>VLOOKUP(A94,'Data Cleaning'!$A$2:$P$142,9,FALSE)</f>
        <v>70470</v>
      </c>
      <c r="F94" s="6">
        <f>VLOOKUP(A94,'Data Cleaning'!$A$2:$P$142,11,FALSE)</f>
        <v>42694</v>
      </c>
      <c r="G94" s="5">
        <f>VLOOKUP(A94,'Data Cleaning'!$A$2:$P$142,13,FALSE)</f>
        <v>2</v>
      </c>
      <c r="H94" t="str">
        <f>VLOOKUP(A94,'Data Cleaning'!$A$2:$P$142,15,FALSE)</f>
        <v>Male</v>
      </c>
      <c r="I94" t="str">
        <f>VLOOKUP(A94,'Data Cleaning'!$A$2:$P$142,16,FALSE)</f>
        <v>user62@example.com</v>
      </c>
    </row>
    <row r="95" spans="1:9" x14ac:dyDescent="0.3">
      <c r="A95" s="9" t="s">
        <v>108</v>
      </c>
      <c r="B95" t="str">
        <f>VLOOKUP(A95,'Data Cleaning'!$A$2:$P$142,3,FALSE)</f>
        <v>Eve Adams</v>
      </c>
      <c r="C95" t="str">
        <f>VLOOKUP(A95,'Data Cleaning'!$A$2:$P$142,5,FALSE)</f>
        <v>Marketing</v>
      </c>
      <c r="D95" t="str">
        <f>VLOOKUP(A95,'Data Cleaning'!$A$2:$P$142,7,FALSE)</f>
        <v>USA</v>
      </c>
      <c r="E95" s="7">
        <f>VLOOKUP(A95,'Data Cleaning'!$A$2:$P$142,9,FALSE)</f>
        <v>70096</v>
      </c>
      <c r="F95" s="6">
        <f>VLOOKUP(A95,'Data Cleaning'!$A$2:$P$142,11,FALSE)</f>
        <v>42701</v>
      </c>
      <c r="G95" s="5">
        <f>VLOOKUP(A95,'Data Cleaning'!$A$2:$P$142,13,FALSE)</f>
        <v>4</v>
      </c>
      <c r="H95" t="str">
        <f>VLOOKUP(A95,'Data Cleaning'!$A$2:$P$142,15,FALSE)</f>
        <v>Male</v>
      </c>
      <c r="I95" t="str">
        <f>VLOOKUP(A95,'Data Cleaning'!$A$2:$P$142,16,FALSE)</f>
        <v>user76@example.com</v>
      </c>
    </row>
    <row r="96" spans="1:9" x14ac:dyDescent="0.3">
      <c r="A96" s="8" t="s">
        <v>109</v>
      </c>
      <c r="B96" t="str">
        <f>VLOOKUP(A96,'Data Cleaning'!$A$2:$P$142,3,FALSE)</f>
        <v>Bob Johnson</v>
      </c>
      <c r="C96" t="str">
        <f>VLOOKUP(A96,'Data Cleaning'!$A$2:$P$142,5,FALSE)</f>
        <v>Marketing</v>
      </c>
      <c r="D96" t="str">
        <f>VLOOKUP(A96,'Data Cleaning'!$A$2:$P$142,7,FALSE)</f>
        <v>India</v>
      </c>
      <c r="E96" s="7">
        <f>VLOOKUP(A96,'Data Cleaning'!$A$2:$P$142,9,FALSE)</f>
        <v>65221.958333333336</v>
      </c>
      <c r="F96" s="6">
        <f>VLOOKUP(A96,'Data Cleaning'!$A$2:$P$142,11,FALSE)</f>
        <v>42708</v>
      </c>
      <c r="G96" s="5">
        <f>VLOOKUP(A96,'Data Cleaning'!$A$2:$P$142,13,FALSE)</f>
        <v>2</v>
      </c>
      <c r="H96" t="str">
        <f>VLOOKUP(A96,'Data Cleaning'!$A$2:$P$142,15,FALSE)</f>
        <v>Other</v>
      </c>
      <c r="I96" t="str">
        <f>VLOOKUP(A96,'Data Cleaning'!$A$2:$P$142,16,FALSE)</f>
        <v>user40@example.com</v>
      </c>
    </row>
    <row r="97" spans="1:9" x14ac:dyDescent="0.3">
      <c r="A97" s="9" t="s">
        <v>110</v>
      </c>
      <c r="B97" t="str">
        <f>VLOOKUP(A97,'Data Cleaning'!$A$2:$P$142,3,FALSE)</f>
        <v>Bob Johnson</v>
      </c>
      <c r="C97" t="str">
        <f>VLOOKUP(A97,'Data Cleaning'!$A$2:$P$142,5,FALSE)</f>
        <v>IT</v>
      </c>
      <c r="D97" t="str">
        <f>VLOOKUP(A97,'Data Cleaning'!$A$2:$P$142,7,FALSE)</f>
        <v>Germany</v>
      </c>
      <c r="E97" s="7">
        <f>VLOOKUP(A97,'Data Cleaning'!$A$2:$P$142,9,FALSE)</f>
        <v>66503</v>
      </c>
      <c r="F97" s="6">
        <f>VLOOKUP(A97,'Data Cleaning'!$A$2:$P$142,11,FALSE)</f>
        <v>42715</v>
      </c>
      <c r="G97" s="5">
        <f>VLOOKUP(A97,'Data Cleaning'!$A$2:$P$142,13,FALSE)</f>
        <v>2</v>
      </c>
      <c r="H97" t="str">
        <f>VLOOKUP(A97,'Data Cleaning'!$A$2:$P$142,15,FALSE)</f>
        <v>Male</v>
      </c>
      <c r="I97" t="str">
        <f>VLOOKUP(A97,'Data Cleaning'!$A$2:$P$142,16,FALSE)</f>
        <v>user200@example.com</v>
      </c>
    </row>
    <row r="98" spans="1:9" x14ac:dyDescent="0.3">
      <c r="A98" s="8" t="s">
        <v>111</v>
      </c>
      <c r="B98" t="str">
        <f>VLOOKUP(A98,'Data Cleaning'!$A$2:$P$142,3,FALSE)</f>
        <v>Alice Brown</v>
      </c>
      <c r="C98" t="str">
        <f>VLOOKUP(A98,'Data Cleaning'!$A$2:$P$142,5,FALSE)</f>
        <v>HR</v>
      </c>
      <c r="D98" t="str">
        <f>VLOOKUP(A98,'Data Cleaning'!$A$2:$P$142,7,FALSE)</f>
        <v>Germany</v>
      </c>
      <c r="E98" s="7">
        <f>VLOOKUP(A98,'Data Cleaning'!$A$2:$P$142,9,FALSE)</f>
        <v>42096</v>
      </c>
      <c r="F98" s="6">
        <f>VLOOKUP(A98,'Data Cleaning'!$A$2:$P$142,11,FALSE)</f>
        <v>42722</v>
      </c>
      <c r="G98" s="5">
        <f>VLOOKUP(A98,'Data Cleaning'!$A$2:$P$142,13,FALSE)</f>
        <v>2</v>
      </c>
      <c r="H98" t="str">
        <f>VLOOKUP(A98,'Data Cleaning'!$A$2:$P$142,15,FALSE)</f>
        <v>Female</v>
      </c>
      <c r="I98" t="str">
        <f>VLOOKUP(A98,'Data Cleaning'!$A$2:$P$142,16,FALSE)</f>
        <v>user54@example.com</v>
      </c>
    </row>
    <row r="99" spans="1:9" x14ac:dyDescent="0.3">
      <c r="A99" s="9" t="s">
        <v>112</v>
      </c>
      <c r="B99" t="str">
        <f>VLOOKUP(A99,'Data Cleaning'!$A$2:$P$142,3,FALSE)</f>
        <v>Alice Brown</v>
      </c>
      <c r="C99" t="str">
        <f>VLOOKUP(A99,'Data Cleaning'!$A$2:$P$142,5,FALSE)</f>
        <v>Marketing</v>
      </c>
      <c r="D99" t="str">
        <f>VLOOKUP(A99,'Data Cleaning'!$A$2:$P$142,7,FALSE)</f>
        <v>India</v>
      </c>
      <c r="E99" s="7">
        <f>VLOOKUP(A99,'Data Cleaning'!$A$2:$P$142,9,FALSE)</f>
        <v>79145</v>
      </c>
      <c r="F99" s="6">
        <f>VLOOKUP(A99,'Data Cleaning'!$A$2:$P$142,11,FALSE)</f>
        <v>42729</v>
      </c>
      <c r="G99" s="5">
        <f>VLOOKUP(A99,'Data Cleaning'!$A$2:$P$142,13,FALSE)</f>
        <v>5</v>
      </c>
      <c r="H99" t="str">
        <f>VLOOKUP(A99,'Data Cleaning'!$A$2:$P$142,15,FALSE)</f>
        <v>Other</v>
      </c>
      <c r="I99" t="str">
        <f>VLOOKUP(A99,'Data Cleaning'!$A$2:$P$142,16,FALSE)</f>
        <v>user20@example.com</v>
      </c>
    </row>
    <row r="100" spans="1:9" x14ac:dyDescent="0.3">
      <c r="A100" s="8" t="s">
        <v>113</v>
      </c>
      <c r="B100" t="str">
        <f>VLOOKUP(A100,'Data Cleaning'!$A$2:$P$142,3,FALSE)</f>
        <v>Jane Smith</v>
      </c>
      <c r="C100" t="str">
        <f>VLOOKUP(A100,'Data Cleaning'!$A$2:$P$142,5,FALSE)</f>
        <v>Marketing</v>
      </c>
      <c r="D100" t="str">
        <f>VLOOKUP(A100,'Data Cleaning'!$A$2:$P$142,7,FALSE)</f>
        <v>Australia</v>
      </c>
      <c r="E100" s="7">
        <f>VLOOKUP(A100,'Data Cleaning'!$A$2:$P$142,9,FALSE)</f>
        <v>61556</v>
      </c>
      <c r="F100" s="6">
        <f>VLOOKUP(A100,'Data Cleaning'!$A$2:$P$142,11,FALSE)</f>
        <v>42736</v>
      </c>
      <c r="G100" s="5">
        <f>VLOOKUP(A100,'Data Cleaning'!$A$2:$P$142,13,FALSE)</f>
        <v>1</v>
      </c>
      <c r="H100" t="str">
        <f>VLOOKUP(A100,'Data Cleaning'!$A$2:$P$142,15,FALSE)</f>
        <v>Female</v>
      </c>
      <c r="I100" t="str">
        <f>VLOOKUP(A100,'Data Cleaning'!$A$2:$P$142,16,FALSE)</f>
        <v>user40@example.com</v>
      </c>
    </row>
    <row r="101" spans="1:9" x14ac:dyDescent="0.3">
      <c r="A101" s="9" t="s">
        <v>114</v>
      </c>
      <c r="B101" t="str">
        <f>VLOOKUP(A101,'Data Cleaning'!$A$2:$P$142,3,FALSE)</f>
        <v>Unknown</v>
      </c>
      <c r="C101" t="str">
        <f>VLOOKUP(A101,'Data Cleaning'!$A$2:$P$142,5,FALSE)</f>
        <v>HR</v>
      </c>
      <c r="D101" t="str">
        <f>VLOOKUP(A101,'Data Cleaning'!$A$2:$P$142,7,FALSE)</f>
        <v>UK</v>
      </c>
      <c r="E101" s="7">
        <f>VLOOKUP(A101,'Data Cleaning'!$A$2:$P$142,9,FALSE)</f>
        <v>87963</v>
      </c>
      <c r="F101" s="6">
        <f>VLOOKUP(A101,'Data Cleaning'!$A$2:$P$142,11,FALSE)</f>
        <v>42743</v>
      </c>
      <c r="G101" s="5">
        <f>VLOOKUP(A101,'Data Cleaning'!$A$2:$P$142,13,FALSE)</f>
        <v>3</v>
      </c>
      <c r="H101" t="str">
        <f>VLOOKUP(A101,'Data Cleaning'!$A$2:$P$142,15,FALSE)</f>
        <v>Other</v>
      </c>
      <c r="I101" t="str">
        <f>VLOOKUP(A101,'Data Cleaning'!$A$2:$P$142,16,FALSE)</f>
        <v>invalid_email</v>
      </c>
    </row>
    <row r="102" spans="1:9" x14ac:dyDescent="0.3">
      <c r="A102" s="8" t="s">
        <v>115</v>
      </c>
      <c r="B102" t="str">
        <f>VLOOKUP(A102,'Data Cleaning'!$A$2:$P$142,3,FALSE)</f>
        <v>Eve Adams</v>
      </c>
      <c r="C102" t="str">
        <f>VLOOKUP(A102,'Data Cleaning'!$A$2:$P$142,5,FALSE)</f>
        <v>IT</v>
      </c>
      <c r="D102" t="str">
        <f>VLOOKUP(A102,'Data Cleaning'!$A$2:$P$142,7,FALSE)</f>
        <v>India</v>
      </c>
      <c r="E102" s="7">
        <f>VLOOKUP(A102,'Data Cleaning'!$A$2:$P$142,9,FALSE)</f>
        <v>48325</v>
      </c>
      <c r="F102" s="6">
        <f>VLOOKUP(A102,'Data Cleaning'!$A$2:$P$142,11,FALSE)</f>
        <v>42750</v>
      </c>
      <c r="G102" s="5">
        <f>VLOOKUP(A102,'Data Cleaning'!$A$2:$P$142,13,FALSE)</f>
        <v>2</v>
      </c>
      <c r="H102" t="str">
        <f>VLOOKUP(A102,'Data Cleaning'!$A$2:$P$142,15,FALSE)</f>
        <v>Male</v>
      </c>
      <c r="I102" t="str">
        <f>VLOOKUP(A102,'Data Cleaning'!$A$2:$P$142,16,FALSE)</f>
        <v>user189@example.com</v>
      </c>
    </row>
    <row r="103" spans="1:9" x14ac:dyDescent="0.3">
      <c r="A103" s="9" t="s">
        <v>116</v>
      </c>
      <c r="B103" t="str">
        <f>VLOOKUP(A103,'Data Cleaning'!$A$2:$P$142,3,FALSE)</f>
        <v>Sam Wilson</v>
      </c>
      <c r="C103" t="str">
        <f>VLOOKUP(A103,'Data Cleaning'!$A$2:$P$142,5,FALSE)</f>
        <v>Marketing</v>
      </c>
      <c r="D103" t="str">
        <f>VLOOKUP(A103,'Data Cleaning'!$A$2:$P$142,7,FALSE)</f>
        <v>Australia</v>
      </c>
      <c r="E103" s="7">
        <f>VLOOKUP(A103,'Data Cleaning'!$A$2:$P$142,9,FALSE)</f>
        <v>86412</v>
      </c>
      <c r="F103" s="6">
        <f>VLOOKUP(A103,'Data Cleaning'!$A$2:$P$142,11,FALSE)</f>
        <v>42757</v>
      </c>
      <c r="G103" s="5">
        <f>VLOOKUP(A103,'Data Cleaning'!$A$2:$P$142,13,FALSE)</f>
        <v>2</v>
      </c>
      <c r="H103" t="str">
        <f>VLOOKUP(A103,'Data Cleaning'!$A$2:$P$142,15,FALSE)</f>
        <v>Female</v>
      </c>
      <c r="I103" t="str">
        <f>VLOOKUP(A103,'Data Cleaning'!$A$2:$P$142,16,FALSE)</f>
        <v>user128@example.com</v>
      </c>
    </row>
    <row r="104" spans="1:9" x14ac:dyDescent="0.3">
      <c r="A104" s="8" t="s">
        <v>117</v>
      </c>
      <c r="B104" t="str">
        <f>VLOOKUP(A104,'Data Cleaning'!$A$2:$P$142,3,FALSE)</f>
        <v>Sam Wilson</v>
      </c>
      <c r="C104" t="str">
        <f>VLOOKUP(A104,'Data Cleaning'!$A$2:$P$142,5,FALSE)</f>
        <v>HR</v>
      </c>
      <c r="D104" t="str">
        <f>VLOOKUP(A104,'Data Cleaning'!$A$2:$P$142,7,FALSE)</f>
        <v>India</v>
      </c>
      <c r="E104" s="7">
        <f>VLOOKUP(A104,'Data Cleaning'!$A$2:$P$142,9,FALSE)</f>
        <v>66761</v>
      </c>
      <c r="F104" s="6">
        <f>VLOOKUP(A104,'Data Cleaning'!$A$2:$P$142,11,FALSE)</f>
        <v>42764</v>
      </c>
      <c r="G104" s="5">
        <f>VLOOKUP(A104,'Data Cleaning'!$A$2:$P$142,13,FALSE)</f>
        <v>1</v>
      </c>
      <c r="H104" t="str">
        <f>VLOOKUP(A104,'Data Cleaning'!$A$2:$P$142,15,FALSE)</f>
        <v>Female</v>
      </c>
      <c r="I104" t="str">
        <f>VLOOKUP(A104,'Data Cleaning'!$A$2:$P$142,16,FALSE)</f>
        <v>user93@example.com</v>
      </c>
    </row>
    <row r="105" spans="1:9" x14ac:dyDescent="0.3">
      <c r="A105" s="9" t="s">
        <v>118</v>
      </c>
      <c r="B105" t="str">
        <f>VLOOKUP(A105,'Data Cleaning'!$A$2:$P$142,3,FALSE)</f>
        <v>Jane Smith</v>
      </c>
      <c r="C105" t="str">
        <f>VLOOKUP(A105,'Data Cleaning'!$A$2:$P$142,5,FALSE)</f>
        <v>Marketing</v>
      </c>
      <c r="D105" t="str">
        <f>VLOOKUP(A105,'Data Cleaning'!$A$2:$P$142,7,FALSE)</f>
        <v>India</v>
      </c>
      <c r="E105" s="7">
        <f>VLOOKUP(A105,'Data Cleaning'!$A$2:$P$142,9,FALSE)</f>
        <v>88850</v>
      </c>
      <c r="F105" s="6">
        <f>VLOOKUP(A105,'Data Cleaning'!$A$2:$P$142,11,FALSE)</f>
        <v>42771</v>
      </c>
      <c r="G105" s="5">
        <f>VLOOKUP(A105,'Data Cleaning'!$A$2:$P$142,13,FALSE)</f>
        <v>1</v>
      </c>
      <c r="H105" t="str">
        <f>VLOOKUP(A105,'Data Cleaning'!$A$2:$P$142,15,FALSE)</f>
        <v>Female</v>
      </c>
      <c r="I105" t="str">
        <f>VLOOKUP(A105,'Data Cleaning'!$A$2:$P$142,16,FALSE)</f>
        <v>user174@example.com</v>
      </c>
    </row>
    <row r="106" spans="1:9" x14ac:dyDescent="0.3">
      <c r="A106" s="8" t="s">
        <v>120</v>
      </c>
      <c r="B106" t="str">
        <f>VLOOKUP(A106,'Data Cleaning'!$A$2:$P$142,3,FALSE)</f>
        <v>Chris Lee</v>
      </c>
      <c r="C106" t="str">
        <f>VLOOKUP(A106,'Data Cleaning'!$A$2:$P$142,5,FALSE)</f>
        <v>IT</v>
      </c>
      <c r="D106" t="str">
        <f>VLOOKUP(A106,'Data Cleaning'!$A$2:$P$142,7,FALSE)</f>
        <v>USA</v>
      </c>
      <c r="E106" s="7">
        <f>VLOOKUP(A106,'Data Cleaning'!$A$2:$P$142,9,FALSE)</f>
        <v>34306</v>
      </c>
      <c r="F106" s="6">
        <f>VLOOKUP(A106,'Data Cleaning'!$A$2:$P$142,11,FALSE)</f>
        <v>42785</v>
      </c>
      <c r="G106" s="5">
        <f>VLOOKUP(A106,'Data Cleaning'!$A$2:$P$142,13,FALSE)</f>
        <v>5</v>
      </c>
      <c r="H106" t="str">
        <f>VLOOKUP(A106,'Data Cleaning'!$A$2:$P$142,15,FALSE)</f>
        <v>Female</v>
      </c>
      <c r="I106" t="str">
        <f>VLOOKUP(A106,'Data Cleaning'!$A$2:$P$142,16,FALSE)</f>
        <v>user192@example.com</v>
      </c>
    </row>
    <row r="107" spans="1:9" x14ac:dyDescent="0.3">
      <c r="A107" s="9" t="s">
        <v>121</v>
      </c>
      <c r="B107" t="str">
        <f>VLOOKUP(A107,'Data Cleaning'!$A$2:$P$142,3,FALSE)</f>
        <v>Eve Adams</v>
      </c>
      <c r="C107" t="str">
        <f>VLOOKUP(A107,'Data Cleaning'!$A$2:$P$142,5,FALSE)</f>
        <v>Finance</v>
      </c>
      <c r="D107" t="str">
        <f>VLOOKUP(A107,'Data Cleaning'!$A$2:$P$142,7,FALSE)</f>
        <v>India</v>
      </c>
      <c r="E107" s="7">
        <f>VLOOKUP(A107,'Data Cleaning'!$A$2:$P$142,9,FALSE)</f>
        <v>78330</v>
      </c>
      <c r="F107" s="6">
        <f>VLOOKUP(A107,'Data Cleaning'!$A$2:$P$142,11,FALSE)</f>
        <v>42792</v>
      </c>
      <c r="G107" s="5">
        <f>VLOOKUP(A107,'Data Cleaning'!$A$2:$P$142,13,FALSE)</f>
        <v>2</v>
      </c>
      <c r="H107" t="str">
        <f>VLOOKUP(A107,'Data Cleaning'!$A$2:$P$142,15,FALSE)</f>
        <v>Other</v>
      </c>
      <c r="I107" t="str">
        <f>VLOOKUP(A107,'Data Cleaning'!$A$2:$P$142,16,FALSE)</f>
        <v>user76@example.com</v>
      </c>
    </row>
    <row r="108" spans="1:9" x14ac:dyDescent="0.3">
      <c r="A108" s="8" t="s">
        <v>122</v>
      </c>
      <c r="B108" t="str">
        <f>VLOOKUP(A108,'Data Cleaning'!$A$2:$P$142,3,FALSE)</f>
        <v>Alice Brown</v>
      </c>
      <c r="C108" t="str">
        <f>VLOOKUP(A108,'Data Cleaning'!$A$2:$P$142,5,FALSE)</f>
        <v>IT</v>
      </c>
      <c r="D108" t="str">
        <f>VLOOKUP(A108,'Data Cleaning'!$A$2:$P$142,7,FALSE)</f>
        <v>USA</v>
      </c>
      <c r="E108" s="7">
        <f>VLOOKUP(A108,'Data Cleaning'!$A$2:$P$142,9,FALSE)</f>
        <v>47653</v>
      </c>
      <c r="F108" s="6">
        <f>VLOOKUP(A108,'Data Cleaning'!$A$2:$P$142,11,FALSE)</f>
        <v>42799</v>
      </c>
      <c r="G108" s="5">
        <f>VLOOKUP(A108,'Data Cleaning'!$A$2:$P$142,13,FALSE)</f>
        <v>1</v>
      </c>
      <c r="H108" t="str">
        <f>VLOOKUP(A108,'Data Cleaning'!$A$2:$P$142,15,FALSE)</f>
        <v>Male</v>
      </c>
      <c r="I108" t="str">
        <f>VLOOKUP(A108,'Data Cleaning'!$A$2:$P$142,16,FALSE)</f>
        <v>user82@example.com</v>
      </c>
    </row>
    <row r="109" spans="1:9" x14ac:dyDescent="0.3">
      <c r="A109" s="9" t="s">
        <v>123</v>
      </c>
      <c r="B109" t="str">
        <f>VLOOKUP(A109,'Data Cleaning'!$A$2:$P$142,3,FALSE)</f>
        <v>Eve Adams</v>
      </c>
      <c r="C109" t="str">
        <f>VLOOKUP(A109,'Data Cleaning'!$A$2:$P$142,5,FALSE)</f>
        <v>Marketing</v>
      </c>
      <c r="D109" t="str">
        <f>VLOOKUP(A109,'Data Cleaning'!$A$2:$P$142,7,FALSE)</f>
        <v>UK</v>
      </c>
      <c r="E109" s="7">
        <f>VLOOKUP(A109,'Data Cleaning'!$A$2:$P$142,9,FALSE)</f>
        <v>44627</v>
      </c>
      <c r="F109" s="6">
        <f>VLOOKUP(A109,'Data Cleaning'!$A$2:$P$142,11,FALSE)</f>
        <v>42806</v>
      </c>
      <c r="G109" s="5">
        <f>VLOOKUP(A109,'Data Cleaning'!$A$2:$P$142,13,FALSE)</f>
        <v>4</v>
      </c>
      <c r="H109" t="str">
        <f>VLOOKUP(A109,'Data Cleaning'!$A$2:$P$142,15,FALSE)</f>
        <v>Female</v>
      </c>
      <c r="I109" t="str">
        <f>VLOOKUP(A109,'Data Cleaning'!$A$2:$P$142,16,FALSE)</f>
        <v>user97@example.com</v>
      </c>
    </row>
    <row r="110" spans="1:9" x14ac:dyDescent="0.3">
      <c r="A110" s="8" t="s">
        <v>124</v>
      </c>
      <c r="B110" t="str">
        <f>VLOOKUP(A110,'Data Cleaning'!$A$2:$P$142,3,FALSE)</f>
        <v>Bob Johnson</v>
      </c>
      <c r="C110" t="str">
        <f>VLOOKUP(A110,'Data Cleaning'!$A$2:$P$142,5,FALSE)</f>
        <v>HR</v>
      </c>
      <c r="D110" t="str">
        <f>VLOOKUP(A110,'Data Cleaning'!$A$2:$P$142,7,FALSE)</f>
        <v>Germany</v>
      </c>
      <c r="E110" s="7">
        <f>VLOOKUP(A110,'Data Cleaning'!$A$2:$P$142,9,FALSE)</f>
        <v>92343</v>
      </c>
      <c r="F110" s="6">
        <f>VLOOKUP(A110,'Data Cleaning'!$A$2:$P$142,11,FALSE)</f>
        <v>42813</v>
      </c>
      <c r="G110" s="5">
        <f>VLOOKUP(A110,'Data Cleaning'!$A$2:$P$142,13,FALSE)</f>
        <v>4</v>
      </c>
      <c r="H110" t="str">
        <f>VLOOKUP(A110,'Data Cleaning'!$A$2:$P$142,15,FALSE)</f>
        <v>Female</v>
      </c>
      <c r="I110" t="str">
        <f>VLOOKUP(A110,'Data Cleaning'!$A$2:$P$142,16,FALSE)</f>
        <v>user149@example.com</v>
      </c>
    </row>
    <row r="111" spans="1:9" x14ac:dyDescent="0.3">
      <c r="A111" s="9" t="s">
        <v>125</v>
      </c>
      <c r="B111" t="str">
        <f>VLOOKUP(A111,'Data Cleaning'!$A$2:$P$142,3,FALSE)</f>
        <v>Bob Johnson</v>
      </c>
      <c r="C111" t="str">
        <f>VLOOKUP(A111,'Data Cleaning'!$A$2:$P$142,5,FALSE)</f>
        <v>Marketing</v>
      </c>
      <c r="D111" t="str">
        <f>VLOOKUP(A111,'Data Cleaning'!$A$2:$P$142,7,FALSE)</f>
        <v>Australia</v>
      </c>
      <c r="E111" s="7">
        <f>VLOOKUP(A111,'Data Cleaning'!$A$2:$P$142,9,FALSE)</f>
        <v>38837</v>
      </c>
      <c r="F111" s="6">
        <f>VLOOKUP(A111,'Data Cleaning'!$A$2:$P$142,11,FALSE)</f>
        <v>42820</v>
      </c>
      <c r="G111" s="5">
        <f>VLOOKUP(A111,'Data Cleaning'!$A$2:$P$142,13,FALSE)</f>
        <v>5</v>
      </c>
      <c r="H111" t="str">
        <f>VLOOKUP(A111,'Data Cleaning'!$A$2:$P$142,15,FALSE)</f>
        <v>Female</v>
      </c>
      <c r="I111" t="str">
        <f>VLOOKUP(A111,'Data Cleaning'!$A$2:$P$142,16,FALSE)</f>
        <v>user192@example.com</v>
      </c>
    </row>
    <row r="112" spans="1:9" x14ac:dyDescent="0.3">
      <c r="A112" s="8" t="s">
        <v>126</v>
      </c>
      <c r="B112" t="str">
        <f>VLOOKUP(A112,'Data Cleaning'!$A$2:$P$142,3,FALSE)</f>
        <v>Bob Johnson</v>
      </c>
      <c r="C112" t="str">
        <f>VLOOKUP(A112,'Data Cleaning'!$A$2:$P$142,5,FALSE)</f>
        <v>Marketing</v>
      </c>
      <c r="D112" t="str">
        <f>VLOOKUP(A112,'Data Cleaning'!$A$2:$P$142,7,FALSE)</f>
        <v>India</v>
      </c>
      <c r="E112" s="7">
        <f>VLOOKUP(A112,'Data Cleaning'!$A$2:$P$142,9,FALSE)</f>
        <v>73483</v>
      </c>
      <c r="F112" s="6">
        <f>VLOOKUP(A112,'Data Cleaning'!$A$2:$P$142,11,FALSE)</f>
        <v>42827</v>
      </c>
      <c r="G112" s="5">
        <f>VLOOKUP(A112,'Data Cleaning'!$A$2:$P$142,13,FALSE)</f>
        <v>1</v>
      </c>
      <c r="H112" t="str">
        <f>VLOOKUP(A112,'Data Cleaning'!$A$2:$P$142,15,FALSE)</f>
        <v>Female</v>
      </c>
      <c r="I112" t="str">
        <f>VLOOKUP(A112,'Data Cleaning'!$A$2:$P$142,16,FALSE)</f>
        <v>user137@example.com</v>
      </c>
    </row>
    <row r="113" spans="1:9" x14ac:dyDescent="0.3">
      <c r="A113" s="9" t="s">
        <v>127</v>
      </c>
      <c r="B113" t="str">
        <f>VLOOKUP(A113,'Data Cleaning'!$A$2:$P$142,3,FALSE)</f>
        <v>Chris Lee</v>
      </c>
      <c r="C113" t="str">
        <f>VLOOKUP(A113,'Data Cleaning'!$A$2:$P$142,5,FALSE)</f>
        <v>Sales</v>
      </c>
      <c r="D113" t="str">
        <f>VLOOKUP(A113,'Data Cleaning'!$A$2:$P$142,7,FALSE)</f>
        <v>India</v>
      </c>
      <c r="E113" s="7">
        <f>VLOOKUP(A113,'Data Cleaning'!$A$2:$P$142,9,FALSE)</f>
        <v>95032</v>
      </c>
      <c r="F113" s="6">
        <f>VLOOKUP(A113,'Data Cleaning'!$A$2:$P$142,11,FALSE)</f>
        <v>42834</v>
      </c>
      <c r="G113" s="5">
        <f>VLOOKUP(A113,'Data Cleaning'!$A$2:$P$142,13,FALSE)</f>
        <v>3</v>
      </c>
      <c r="H113" t="str">
        <f>VLOOKUP(A113,'Data Cleaning'!$A$2:$P$142,15,FALSE)</f>
        <v>Female</v>
      </c>
      <c r="I113" t="str">
        <f>VLOOKUP(A113,'Data Cleaning'!$A$2:$P$142,16,FALSE)</f>
        <v>user23@example.com</v>
      </c>
    </row>
    <row r="114" spans="1:9" x14ac:dyDescent="0.3">
      <c r="A114" s="8" t="s">
        <v>128</v>
      </c>
      <c r="B114" t="str">
        <f>VLOOKUP(A114,'Data Cleaning'!$A$2:$P$142,3,FALSE)</f>
        <v>Eve Adams</v>
      </c>
      <c r="C114" t="str">
        <f>VLOOKUP(A114,'Data Cleaning'!$A$2:$P$142,5,FALSE)</f>
        <v>Sales</v>
      </c>
      <c r="D114" t="str">
        <f>VLOOKUP(A114,'Data Cleaning'!$A$2:$P$142,7,FALSE)</f>
        <v>Australia</v>
      </c>
      <c r="E114" s="7">
        <f>VLOOKUP(A114,'Data Cleaning'!$A$2:$P$142,9,FALSE)</f>
        <v>44358</v>
      </c>
      <c r="F114" s="6">
        <f>VLOOKUP(A114,'Data Cleaning'!$A$2:$P$142,11,FALSE)</f>
        <v>42841</v>
      </c>
      <c r="G114" s="5">
        <f>VLOOKUP(A114,'Data Cleaning'!$A$2:$P$142,13,FALSE)</f>
        <v>2</v>
      </c>
      <c r="H114" t="str">
        <f>VLOOKUP(A114,'Data Cleaning'!$A$2:$P$142,15,FALSE)</f>
        <v>Female</v>
      </c>
      <c r="I114" t="str">
        <f>VLOOKUP(A114,'Data Cleaning'!$A$2:$P$142,16,FALSE)</f>
        <v>user200@example.com</v>
      </c>
    </row>
    <row r="115" spans="1:9" x14ac:dyDescent="0.3">
      <c r="A115" s="9" t="s">
        <v>130</v>
      </c>
      <c r="B115" t="str">
        <f>VLOOKUP(A115,'Data Cleaning'!$A$2:$P$142,3,FALSE)</f>
        <v>Chris Lee</v>
      </c>
      <c r="C115" t="str">
        <f>VLOOKUP(A115,'Data Cleaning'!$A$2:$P$142,5,FALSE)</f>
        <v>Sales</v>
      </c>
      <c r="D115" t="str">
        <f>VLOOKUP(A115,'Data Cleaning'!$A$2:$P$142,7,FALSE)</f>
        <v>USA</v>
      </c>
      <c r="E115" s="7">
        <f>VLOOKUP(A115,'Data Cleaning'!$A$2:$P$142,9,FALSE)</f>
        <v>45676</v>
      </c>
      <c r="F115" s="6">
        <f>VLOOKUP(A115,'Data Cleaning'!$A$2:$P$142,11,FALSE)</f>
        <v>42855</v>
      </c>
      <c r="G115" s="5">
        <f>VLOOKUP(A115,'Data Cleaning'!$A$2:$P$142,13,FALSE)</f>
        <v>2</v>
      </c>
      <c r="H115" t="str">
        <f>VLOOKUP(A115,'Data Cleaning'!$A$2:$P$142,15,FALSE)</f>
        <v>Female</v>
      </c>
      <c r="I115" t="str">
        <f>VLOOKUP(A115,'Data Cleaning'!$A$2:$P$142,16,FALSE)</f>
        <v>user132@example.com</v>
      </c>
    </row>
    <row r="116" spans="1:9" x14ac:dyDescent="0.3">
      <c r="A116" s="8" t="s">
        <v>131</v>
      </c>
      <c r="B116" t="str">
        <f>VLOOKUP(A116,'Data Cleaning'!$A$2:$P$142,3,FALSE)</f>
        <v>Bob Johnson</v>
      </c>
      <c r="C116" t="str">
        <f>VLOOKUP(A116,'Data Cleaning'!$A$2:$P$142,5,FALSE)</f>
        <v>Sales</v>
      </c>
      <c r="D116" t="str">
        <f>VLOOKUP(A116,'Data Cleaning'!$A$2:$P$142,7,FALSE)</f>
        <v>Germany</v>
      </c>
      <c r="E116" s="7">
        <f>VLOOKUP(A116,'Data Cleaning'!$A$2:$P$142,9,FALSE)</f>
        <v>52036</v>
      </c>
      <c r="F116" s="6">
        <f>VLOOKUP(A116,'Data Cleaning'!$A$2:$P$142,11,FALSE)</f>
        <v>42862</v>
      </c>
      <c r="G116" s="5">
        <f>VLOOKUP(A116,'Data Cleaning'!$A$2:$P$142,13,FALSE)</f>
        <v>3</v>
      </c>
      <c r="H116" t="str">
        <f>VLOOKUP(A116,'Data Cleaning'!$A$2:$P$142,15,FALSE)</f>
        <v>Male</v>
      </c>
      <c r="I116" t="str">
        <f>VLOOKUP(A116,'Data Cleaning'!$A$2:$P$142,16,FALSE)</f>
        <v>user171@example.com</v>
      </c>
    </row>
    <row r="117" spans="1:9" x14ac:dyDescent="0.3">
      <c r="A117" s="9" t="s">
        <v>132</v>
      </c>
      <c r="B117" t="str">
        <f>VLOOKUP(A117,'Data Cleaning'!$A$2:$P$142,3,FALSE)</f>
        <v>Jane Smith</v>
      </c>
      <c r="C117" t="str">
        <f>VLOOKUP(A117,'Data Cleaning'!$A$2:$P$142,5,FALSE)</f>
        <v>Marketing</v>
      </c>
      <c r="D117" t="str">
        <f>VLOOKUP(A117,'Data Cleaning'!$A$2:$P$142,7,FALSE)</f>
        <v>Germany</v>
      </c>
      <c r="E117" s="7">
        <f>VLOOKUP(A117,'Data Cleaning'!$A$2:$P$142,9,FALSE)</f>
        <v>30357</v>
      </c>
      <c r="F117" s="6">
        <f>VLOOKUP(A117,'Data Cleaning'!$A$2:$P$142,11,FALSE)</f>
        <v>42869</v>
      </c>
      <c r="G117" s="5">
        <f>VLOOKUP(A117,'Data Cleaning'!$A$2:$P$142,13,FALSE)</f>
        <v>5</v>
      </c>
      <c r="H117" t="str">
        <f>VLOOKUP(A117,'Data Cleaning'!$A$2:$P$142,15,FALSE)</f>
        <v>Male</v>
      </c>
      <c r="I117" t="str">
        <f>VLOOKUP(A117,'Data Cleaning'!$A$2:$P$142,16,FALSE)</f>
        <v>user145@example.com</v>
      </c>
    </row>
    <row r="118" spans="1:9" x14ac:dyDescent="0.3">
      <c r="A118" s="8" t="s">
        <v>133</v>
      </c>
      <c r="B118" t="str">
        <f>VLOOKUP(A118,'Data Cleaning'!$A$2:$P$142,3,FALSE)</f>
        <v>John Doe</v>
      </c>
      <c r="C118" t="str">
        <f>VLOOKUP(A118,'Data Cleaning'!$A$2:$P$142,5,FALSE)</f>
        <v>IT</v>
      </c>
      <c r="D118" t="str">
        <f>VLOOKUP(A118,'Data Cleaning'!$A$2:$P$142,7,FALSE)</f>
        <v>India</v>
      </c>
      <c r="E118" s="7">
        <f>VLOOKUP(A118,'Data Cleaning'!$A$2:$P$142,9,FALSE)</f>
        <v>60034</v>
      </c>
      <c r="F118" s="6">
        <f>VLOOKUP(A118,'Data Cleaning'!$A$2:$P$142,11,FALSE)</f>
        <v>42876</v>
      </c>
      <c r="G118" s="5">
        <f>VLOOKUP(A118,'Data Cleaning'!$A$2:$P$142,13,FALSE)</f>
        <v>1</v>
      </c>
      <c r="H118" t="str">
        <f>VLOOKUP(A118,'Data Cleaning'!$A$2:$P$142,15,FALSE)</f>
        <v>Female</v>
      </c>
      <c r="I118" t="str">
        <f>VLOOKUP(A118,'Data Cleaning'!$A$2:$P$142,16,FALSE)</f>
        <v>user75@example.com</v>
      </c>
    </row>
    <row r="119" spans="1:9" x14ac:dyDescent="0.3">
      <c r="A119" s="9" t="s">
        <v>134</v>
      </c>
      <c r="B119" t="str">
        <f>VLOOKUP(A119,'Data Cleaning'!$A$2:$P$142,3,FALSE)</f>
        <v>John Doe</v>
      </c>
      <c r="C119" t="str">
        <f>VLOOKUP(A119,'Data Cleaning'!$A$2:$P$142,5,FALSE)</f>
        <v>Finance</v>
      </c>
      <c r="D119" t="str">
        <f>VLOOKUP(A119,'Data Cleaning'!$A$2:$P$142,7,FALSE)</f>
        <v>India</v>
      </c>
      <c r="E119" s="7">
        <f>VLOOKUP(A119,'Data Cleaning'!$A$2:$P$142,9,FALSE)</f>
        <v>90019</v>
      </c>
      <c r="F119" s="6">
        <f>VLOOKUP(A119,'Data Cleaning'!$A$2:$P$142,11,FALSE)</f>
        <v>42883</v>
      </c>
      <c r="G119" s="5">
        <f>VLOOKUP(A119,'Data Cleaning'!$A$2:$P$142,13,FALSE)</f>
        <v>5</v>
      </c>
      <c r="H119" t="str">
        <f>VLOOKUP(A119,'Data Cleaning'!$A$2:$P$142,15,FALSE)</f>
        <v>Female</v>
      </c>
      <c r="I119" t="str">
        <f>VLOOKUP(A119,'Data Cleaning'!$A$2:$P$142,16,FALSE)</f>
        <v>user52@example.com</v>
      </c>
    </row>
    <row r="120" spans="1:9" x14ac:dyDescent="0.3">
      <c r="A120" s="8" t="s">
        <v>135</v>
      </c>
      <c r="B120" t="str">
        <f>VLOOKUP(A120,'Data Cleaning'!$A$2:$P$142,3,FALSE)</f>
        <v>Bob Johnson</v>
      </c>
      <c r="C120" t="str">
        <f>VLOOKUP(A120,'Data Cleaning'!$A$2:$P$142,5,FALSE)</f>
        <v>Marketing</v>
      </c>
      <c r="D120" t="str">
        <f>VLOOKUP(A120,'Data Cleaning'!$A$2:$P$142,7,FALSE)</f>
        <v>Germany</v>
      </c>
      <c r="E120" s="7">
        <f>VLOOKUP(A120,'Data Cleaning'!$A$2:$P$142,9,FALSE)</f>
        <v>71494</v>
      </c>
      <c r="F120" s="6">
        <f>VLOOKUP(A120,'Data Cleaning'!$A$2:$P$142,11,FALSE)</f>
        <v>42890</v>
      </c>
      <c r="G120" s="5">
        <f>VLOOKUP(A120,'Data Cleaning'!$A$2:$P$142,13,FALSE)</f>
        <v>3</v>
      </c>
      <c r="H120" t="str">
        <f>VLOOKUP(A120,'Data Cleaning'!$A$2:$P$142,15,FALSE)</f>
        <v>Male</v>
      </c>
      <c r="I120" t="str">
        <f>VLOOKUP(A120,'Data Cleaning'!$A$2:$P$142,16,FALSE)</f>
        <v>user100@example.com</v>
      </c>
    </row>
    <row r="121" spans="1:9" x14ac:dyDescent="0.3">
      <c r="A121" s="9" t="s">
        <v>136</v>
      </c>
      <c r="B121" t="str">
        <f>VLOOKUP(A121,'Data Cleaning'!$A$2:$P$142,3,FALSE)</f>
        <v>John Doe</v>
      </c>
      <c r="C121" t="str">
        <f>VLOOKUP(A121,'Data Cleaning'!$A$2:$P$142,5,FALSE)</f>
        <v>Finance</v>
      </c>
      <c r="D121" t="str">
        <f>VLOOKUP(A121,'Data Cleaning'!$A$2:$P$142,7,FALSE)</f>
        <v>USA</v>
      </c>
      <c r="E121" s="7">
        <f>VLOOKUP(A121,'Data Cleaning'!$A$2:$P$142,9,FALSE)</f>
        <v>91953</v>
      </c>
      <c r="F121" s="6">
        <f>VLOOKUP(A121,'Data Cleaning'!$A$2:$P$142,11,FALSE)</f>
        <v>42897</v>
      </c>
      <c r="G121" s="5">
        <f>VLOOKUP(A121,'Data Cleaning'!$A$2:$P$142,13,FALSE)</f>
        <v>2</v>
      </c>
      <c r="H121" t="str">
        <f>VLOOKUP(A121,'Data Cleaning'!$A$2:$P$142,15,FALSE)</f>
        <v>Male</v>
      </c>
      <c r="I121" t="str">
        <f>VLOOKUP(A121,'Data Cleaning'!$A$2:$P$142,16,FALSE)</f>
        <v>user83@example.com</v>
      </c>
    </row>
    <row r="122" spans="1:9" x14ac:dyDescent="0.3">
      <c r="A122" s="8" t="s">
        <v>137</v>
      </c>
      <c r="B122" t="str">
        <f>VLOOKUP(A122,'Data Cleaning'!$A$2:$P$142,3,FALSE)</f>
        <v>Chris Lee</v>
      </c>
      <c r="C122" t="str">
        <f>VLOOKUP(A122,'Data Cleaning'!$A$2:$P$142,5,FALSE)</f>
        <v>Sales</v>
      </c>
      <c r="D122" t="str">
        <f>VLOOKUP(A122,'Data Cleaning'!$A$2:$P$142,7,FALSE)</f>
        <v>USA</v>
      </c>
      <c r="E122" s="7">
        <f>VLOOKUP(A122,'Data Cleaning'!$A$2:$P$142,9,FALSE)</f>
        <v>30402</v>
      </c>
      <c r="F122" s="6">
        <f>VLOOKUP(A122,'Data Cleaning'!$A$2:$P$142,11,FALSE)</f>
        <v>42904</v>
      </c>
      <c r="G122" s="5">
        <f>VLOOKUP(A122,'Data Cleaning'!$A$2:$P$142,13,FALSE)</f>
        <v>1</v>
      </c>
      <c r="H122" t="str">
        <f>VLOOKUP(A122,'Data Cleaning'!$A$2:$P$142,15,FALSE)</f>
        <v>Female</v>
      </c>
      <c r="I122" t="str">
        <f>VLOOKUP(A122,'Data Cleaning'!$A$2:$P$142,16,FALSE)</f>
        <v>user167@example.com</v>
      </c>
    </row>
    <row r="123" spans="1:9" x14ac:dyDescent="0.3">
      <c r="A123" s="9" t="s">
        <v>138</v>
      </c>
      <c r="B123" t="str">
        <f>VLOOKUP(A123,'Data Cleaning'!$A$2:$P$142,3,FALSE)</f>
        <v>Bob Johnson</v>
      </c>
      <c r="C123" t="str">
        <f>VLOOKUP(A123,'Data Cleaning'!$A$2:$P$142,5,FALSE)</f>
        <v>Marketing</v>
      </c>
      <c r="D123" t="str">
        <f>VLOOKUP(A123,'Data Cleaning'!$A$2:$P$142,7,FALSE)</f>
        <v>UK</v>
      </c>
      <c r="E123" s="7">
        <f>VLOOKUP(A123,'Data Cleaning'!$A$2:$P$142,9,FALSE)</f>
        <v>62994</v>
      </c>
      <c r="F123" s="6">
        <f>VLOOKUP(A123,'Data Cleaning'!$A$2:$P$142,11,FALSE)</f>
        <v>42911</v>
      </c>
      <c r="G123" s="5">
        <f>VLOOKUP(A123,'Data Cleaning'!$A$2:$P$142,13,FALSE)</f>
        <v>2</v>
      </c>
      <c r="H123" t="str">
        <f>VLOOKUP(A123,'Data Cleaning'!$A$2:$P$142,15,FALSE)</f>
        <v>Female</v>
      </c>
      <c r="I123" t="str">
        <f>VLOOKUP(A123,'Data Cleaning'!$A$2:$P$142,16,FALSE)</f>
        <v>user175@example.com</v>
      </c>
    </row>
    <row r="124" spans="1:9" x14ac:dyDescent="0.3">
      <c r="A124" s="8" t="s">
        <v>140</v>
      </c>
      <c r="B124" t="str">
        <f>VLOOKUP(A124,'Data Cleaning'!$A$2:$P$142,3,FALSE)</f>
        <v>Sam Wilson</v>
      </c>
      <c r="C124" t="str">
        <f>VLOOKUP(A124,'Data Cleaning'!$A$2:$P$142,5,FALSE)</f>
        <v>Marketing</v>
      </c>
      <c r="D124" t="str">
        <f>VLOOKUP(A124,'Data Cleaning'!$A$2:$P$142,7,FALSE)</f>
        <v>Germany</v>
      </c>
      <c r="E124" s="7">
        <f>VLOOKUP(A124,'Data Cleaning'!$A$2:$P$142,9,FALSE)</f>
        <v>34402</v>
      </c>
      <c r="F124" s="6">
        <f>VLOOKUP(A124,'Data Cleaning'!$A$2:$P$142,11,FALSE)</f>
        <v>42925</v>
      </c>
      <c r="G124" s="5">
        <f>VLOOKUP(A124,'Data Cleaning'!$A$2:$P$142,13,FALSE)</f>
        <v>3</v>
      </c>
      <c r="H124" t="str">
        <f>VLOOKUP(A124,'Data Cleaning'!$A$2:$P$142,15,FALSE)</f>
        <v>Other</v>
      </c>
      <c r="I124" t="str">
        <f>VLOOKUP(A124,'Data Cleaning'!$A$2:$P$142,16,FALSE)</f>
        <v>user42@example.com</v>
      </c>
    </row>
    <row r="125" spans="1:9" x14ac:dyDescent="0.3">
      <c r="A125" s="9" t="s">
        <v>141</v>
      </c>
      <c r="B125" t="str">
        <f>VLOOKUP(A125,'Data Cleaning'!$A$2:$P$142,3,FALSE)</f>
        <v>Eve Adams</v>
      </c>
      <c r="C125" t="str">
        <f>VLOOKUP(A125,'Data Cleaning'!$A$2:$P$142,5,FALSE)</f>
        <v>HR</v>
      </c>
      <c r="D125" t="str">
        <f>VLOOKUP(A125,'Data Cleaning'!$A$2:$P$142,7,FALSE)</f>
        <v>USA</v>
      </c>
      <c r="E125" s="7">
        <f>VLOOKUP(A125,'Data Cleaning'!$A$2:$P$142,9,FALSE)</f>
        <v>38678</v>
      </c>
      <c r="F125" s="6">
        <f>VLOOKUP(A125,'Data Cleaning'!$A$2:$P$142,11,FALSE)</f>
        <v>42932</v>
      </c>
      <c r="G125" s="5">
        <f>VLOOKUP(A125,'Data Cleaning'!$A$2:$P$142,13,FALSE)</f>
        <v>3</v>
      </c>
      <c r="H125" t="str">
        <f>VLOOKUP(A125,'Data Cleaning'!$A$2:$P$142,15,FALSE)</f>
        <v>Other</v>
      </c>
      <c r="I125" t="str">
        <f>VLOOKUP(A125,'Data Cleaning'!$A$2:$P$142,16,FALSE)</f>
        <v>user188@example.com</v>
      </c>
    </row>
    <row r="126" spans="1:9" x14ac:dyDescent="0.3">
      <c r="A126" s="8" t="s">
        <v>142</v>
      </c>
      <c r="B126" t="str">
        <f>VLOOKUP(A126,'Data Cleaning'!$A$2:$P$142,3,FALSE)</f>
        <v>Chris Lee</v>
      </c>
      <c r="C126" t="str">
        <f>VLOOKUP(A126,'Data Cleaning'!$A$2:$P$142,5,FALSE)</f>
        <v>HR</v>
      </c>
      <c r="D126" t="str">
        <f>VLOOKUP(A126,'Data Cleaning'!$A$2:$P$142,7,FALSE)</f>
        <v>Germany</v>
      </c>
      <c r="E126" s="7">
        <f>VLOOKUP(A126,'Data Cleaning'!$A$2:$P$142,9,FALSE)</f>
        <v>45758</v>
      </c>
      <c r="F126" s="6">
        <f>VLOOKUP(A126,'Data Cleaning'!$A$2:$P$142,11,FALSE)</f>
        <v>42939</v>
      </c>
      <c r="G126" s="5">
        <f>VLOOKUP(A126,'Data Cleaning'!$A$2:$P$142,13,FALSE)</f>
        <v>3</v>
      </c>
      <c r="H126" t="str">
        <f>VLOOKUP(A126,'Data Cleaning'!$A$2:$P$142,15,FALSE)</f>
        <v>Female</v>
      </c>
      <c r="I126" t="str">
        <f>VLOOKUP(A126,'Data Cleaning'!$A$2:$P$142,16,FALSE)</f>
        <v>user44@example.com</v>
      </c>
    </row>
    <row r="127" spans="1:9" x14ac:dyDescent="0.3">
      <c r="A127" s="9" t="s">
        <v>143</v>
      </c>
      <c r="B127" t="str">
        <f>VLOOKUP(A127,'Data Cleaning'!$A$2:$P$142,3,FALSE)</f>
        <v>Eve Adams</v>
      </c>
      <c r="C127" t="str">
        <f>VLOOKUP(A127,'Data Cleaning'!$A$2:$P$142,5,FALSE)</f>
        <v>Marketing</v>
      </c>
      <c r="D127" t="str">
        <f>VLOOKUP(A127,'Data Cleaning'!$A$2:$P$142,7,FALSE)</f>
        <v>India</v>
      </c>
      <c r="E127" s="7">
        <f>VLOOKUP(A127,'Data Cleaning'!$A$2:$P$142,9,FALSE)</f>
        <v>62476</v>
      </c>
      <c r="F127" s="6">
        <f>VLOOKUP(A127,'Data Cleaning'!$A$2:$P$142,11,FALSE)</f>
        <v>42946</v>
      </c>
      <c r="G127" s="5">
        <f>VLOOKUP(A127,'Data Cleaning'!$A$2:$P$142,13,FALSE)</f>
        <v>1</v>
      </c>
      <c r="H127" t="str">
        <f>VLOOKUP(A127,'Data Cleaning'!$A$2:$P$142,15,FALSE)</f>
        <v>Other</v>
      </c>
      <c r="I127" t="str">
        <f>VLOOKUP(A127,'Data Cleaning'!$A$2:$P$142,16,FALSE)</f>
        <v>user63@example.com</v>
      </c>
    </row>
    <row r="128" spans="1:9" x14ac:dyDescent="0.3">
      <c r="A128" s="8" t="s">
        <v>144</v>
      </c>
      <c r="B128" t="str">
        <f>VLOOKUP(A128,'Data Cleaning'!$A$2:$P$142,3,FALSE)</f>
        <v>Unknown</v>
      </c>
      <c r="C128" t="str">
        <f>VLOOKUP(A128,'Data Cleaning'!$A$2:$P$142,5,FALSE)</f>
        <v>IT</v>
      </c>
      <c r="D128" t="str">
        <f>VLOOKUP(A128,'Data Cleaning'!$A$2:$P$142,7,FALSE)</f>
        <v>UK</v>
      </c>
      <c r="E128" s="7">
        <f>VLOOKUP(A128,'Data Cleaning'!$A$2:$P$142,9,FALSE)</f>
        <v>39280</v>
      </c>
      <c r="F128" s="6">
        <f>VLOOKUP(A128,'Data Cleaning'!$A$2:$P$142,11,FALSE)</f>
        <v>42953</v>
      </c>
      <c r="G128" s="5">
        <f>VLOOKUP(A128,'Data Cleaning'!$A$2:$P$142,13,FALSE)</f>
        <v>3</v>
      </c>
      <c r="H128" t="str">
        <f>VLOOKUP(A128,'Data Cleaning'!$A$2:$P$142,15,FALSE)</f>
        <v>Female</v>
      </c>
      <c r="I128" t="str">
        <f>VLOOKUP(A128,'Data Cleaning'!$A$2:$P$142,16,FALSE)</f>
        <v>user198@example.com</v>
      </c>
    </row>
    <row r="129" spans="1:9" x14ac:dyDescent="0.3">
      <c r="A129" s="9" t="s">
        <v>145</v>
      </c>
      <c r="B129" t="str">
        <f>VLOOKUP(A129,'Data Cleaning'!$A$2:$P$142,3,FALSE)</f>
        <v>Jane Smith</v>
      </c>
      <c r="C129" t="str">
        <f>VLOOKUP(A129,'Data Cleaning'!$A$2:$P$142,5,FALSE)</f>
        <v>Finance</v>
      </c>
      <c r="D129" t="str">
        <f>VLOOKUP(A129,'Data Cleaning'!$A$2:$P$142,7,FALSE)</f>
        <v>India</v>
      </c>
      <c r="E129" s="7">
        <f>VLOOKUP(A129,'Data Cleaning'!$A$2:$P$142,9,FALSE)</f>
        <v>60335</v>
      </c>
      <c r="F129" s="6">
        <f>VLOOKUP(A129,'Data Cleaning'!$A$2:$P$142,11,FALSE)</f>
        <v>42960</v>
      </c>
      <c r="G129" s="5">
        <f>VLOOKUP(A129,'Data Cleaning'!$A$2:$P$142,13,FALSE)</f>
        <v>4</v>
      </c>
      <c r="H129" t="str">
        <f>VLOOKUP(A129,'Data Cleaning'!$A$2:$P$142,15,FALSE)</f>
        <v>Other</v>
      </c>
      <c r="I129" t="str">
        <f>VLOOKUP(A129,'Data Cleaning'!$A$2:$P$142,16,FALSE)</f>
        <v>user59@example.com</v>
      </c>
    </row>
    <row r="130" spans="1:9" x14ac:dyDescent="0.3">
      <c r="A130" s="8" t="s">
        <v>146</v>
      </c>
      <c r="B130" t="str">
        <f>VLOOKUP(A130,'Data Cleaning'!$A$2:$P$142,3,FALSE)</f>
        <v>Chris Lee</v>
      </c>
      <c r="C130" t="str">
        <f>VLOOKUP(A130,'Data Cleaning'!$A$2:$P$142,5,FALSE)</f>
        <v>HR</v>
      </c>
      <c r="D130" t="str">
        <f>VLOOKUP(A130,'Data Cleaning'!$A$2:$P$142,7,FALSE)</f>
        <v>Germany</v>
      </c>
      <c r="E130" s="7">
        <f>VLOOKUP(A130,'Data Cleaning'!$A$2:$P$142,9,FALSE)</f>
        <v>84968</v>
      </c>
      <c r="F130" s="6">
        <f>VLOOKUP(A130,'Data Cleaning'!$A$2:$P$142,11,FALSE)</f>
        <v>42967</v>
      </c>
      <c r="G130" s="5">
        <f>VLOOKUP(A130,'Data Cleaning'!$A$2:$P$142,13,FALSE)</f>
        <v>2</v>
      </c>
      <c r="H130" t="str">
        <f>VLOOKUP(A130,'Data Cleaning'!$A$2:$P$142,15,FALSE)</f>
        <v>Female</v>
      </c>
      <c r="I130" t="str">
        <f>VLOOKUP(A130,'Data Cleaning'!$A$2:$P$142,16,FALSE)</f>
        <v>user165@example.com</v>
      </c>
    </row>
    <row r="131" spans="1:9" x14ac:dyDescent="0.3">
      <c r="A131" s="9" t="s">
        <v>147</v>
      </c>
      <c r="B131" t="str">
        <f>VLOOKUP(A131,'Data Cleaning'!$A$2:$P$142,3,FALSE)</f>
        <v>Chris Lee</v>
      </c>
      <c r="C131" t="str">
        <f>VLOOKUP(A131,'Data Cleaning'!$A$2:$P$142,5,FALSE)</f>
        <v>Marketing</v>
      </c>
      <c r="D131" t="str">
        <f>VLOOKUP(A131,'Data Cleaning'!$A$2:$P$142,7,FALSE)</f>
        <v>Australia</v>
      </c>
      <c r="E131" s="7">
        <f>VLOOKUP(A131,'Data Cleaning'!$A$2:$P$142,9,FALSE)</f>
        <v>84750</v>
      </c>
      <c r="F131" s="6">
        <f>VLOOKUP(A131,'Data Cleaning'!$A$2:$P$142,11,FALSE)</f>
        <v>42974</v>
      </c>
      <c r="G131" s="5">
        <f>VLOOKUP(A131,'Data Cleaning'!$A$2:$P$142,13,FALSE)</f>
        <v>4</v>
      </c>
      <c r="H131" t="str">
        <f>VLOOKUP(A131,'Data Cleaning'!$A$2:$P$142,15,FALSE)</f>
        <v>Female</v>
      </c>
      <c r="I131" t="str">
        <f>VLOOKUP(A131,'Data Cleaning'!$A$2:$P$142,16,FALSE)</f>
        <v>user3@example.com</v>
      </c>
    </row>
    <row r="132" spans="1:9" x14ac:dyDescent="0.3">
      <c r="A132" s="8" t="s">
        <v>148</v>
      </c>
      <c r="B132" t="str">
        <f>VLOOKUP(A132,'Data Cleaning'!$A$2:$P$142,3,FALSE)</f>
        <v>Bob Johnson</v>
      </c>
      <c r="C132" t="str">
        <f>VLOOKUP(A132,'Data Cleaning'!$A$2:$P$142,5,FALSE)</f>
        <v>IT</v>
      </c>
      <c r="D132" t="str">
        <f>VLOOKUP(A132,'Data Cleaning'!$A$2:$P$142,7,FALSE)</f>
        <v>India</v>
      </c>
      <c r="E132" s="7">
        <f>VLOOKUP(A132,'Data Cleaning'!$A$2:$P$142,9,FALSE)</f>
        <v>73348</v>
      </c>
      <c r="F132" s="6">
        <f>VLOOKUP(A132,'Data Cleaning'!$A$2:$P$142,11,FALSE)</f>
        <v>42981</v>
      </c>
      <c r="G132" s="5">
        <f>VLOOKUP(A132,'Data Cleaning'!$A$2:$P$142,13,FALSE)</f>
        <v>2</v>
      </c>
      <c r="H132" t="str">
        <f>VLOOKUP(A132,'Data Cleaning'!$A$2:$P$142,15,FALSE)</f>
        <v>Female</v>
      </c>
      <c r="I132" t="str">
        <f>VLOOKUP(A132,'Data Cleaning'!$A$2:$P$142,16,FALSE)</f>
        <v>user22@example.com</v>
      </c>
    </row>
    <row r="133" spans="1:9" x14ac:dyDescent="0.3">
      <c r="A133" s="9" t="s">
        <v>149</v>
      </c>
      <c r="B133" t="str">
        <f>VLOOKUP(A133,'Data Cleaning'!$A$2:$P$142,3,FALSE)</f>
        <v>Chris Lee</v>
      </c>
      <c r="C133" t="str">
        <f>VLOOKUP(A133,'Data Cleaning'!$A$2:$P$142,5,FALSE)</f>
        <v>Sales</v>
      </c>
      <c r="D133" t="str">
        <f>VLOOKUP(A133,'Data Cleaning'!$A$2:$P$142,7,FALSE)</f>
        <v>USA</v>
      </c>
      <c r="E133" s="7">
        <f>VLOOKUP(A133,'Data Cleaning'!$A$2:$P$142,9,FALSE)</f>
        <v>70375.869565217392</v>
      </c>
      <c r="F133" s="6">
        <f>VLOOKUP(A133,'Data Cleaning'!$A$2:$P$142,11,FALSE)</f>
        <v>42988</v>
      </c>
      <c r="G133" s="5">
        <f>VLOOKUP(A133,'Data Cleaning'!$A$2:$P$142,13,FALSE)</f>
        <v>4</v>
      </c>
      <c r="H133" t="str">
        <f>VLOOKUP(A133,'Data Cleaning'!$A$2:$P$142,15,FALSE)</f>
        <v>Other</v>
      </c>
      <c r="I133" t="str">
        <f>VLOOKUP(A133,'Data Cleaning'!$A$2:$P$142,16,FALSE)</f>
        <v>invalid_email</v>
      </c>
    </row>
    <row r="134" spans="1:9" x14ac:dyDescent="0.3">
      <c r="A134" s="8" t="s">
        <v>150</v>
      </c>
      <c r="B134" t="str">
        <f>VLOOKUP(A134,'Data Cleaning'!$A$2:$P$142,3,FALSE)</f>
        <v>Jane Smith</v>
      </c>
      <c r="C134" t="str">
        <f>VLOOKUP(A134,'Data Cleaning'!$A$2:$P$142,5,FALSE)</f>
        <v>Marketing</v>
      </c>
      <c r="D134" t="str">
        <f>VLOOKUP(A134,'Data Cleaning'!$A$2:$P$142,7,FALSE)</f>
        <v>USA</v>
      </c>
      <c r="E134" s="7">
        <f>VLOOKUP(A134,'Data Cleaning'!$A$2:$P$142,9,FALSE)</f>
        <v>66882</v>
      </c>
      <c r="F134" s="6">
        <f>VLOOKUP(A134,'Data Cleaning'!$A$2:$P$142,11,FALSE)</f>
        <v>42995</v>
      </c>
      <c r="G134" s="5">
        <f>VLOOKUP(A134,'Data Cleaning'!$A$2:$P$142,13,FALSE)</f>
        <v>5</v>
      </c>
      <c r="H134" t="str">
        <f>VLOOKUP(A134,'Data Cleaning'!$A$2:$P$142,15,FALSE)</f>
        <v>Other</v>
      </c>
      <c r="I134" t="str">
        <f>VLOOKUP(A134,'Data Cleaning'!$A$2:$P$142,16,FALSE)</f>
        <v>user103@example.com</v>
      </c>
    </row>
    <row r="135" spans="1:9" x14ac:dyDescent="0.3">
      <c r="A135" s="9" t="s">
        <v>151</v>
      </c>
      <c r="B135" t="str">
        <f>VLOOKUP(A135,'Data Cleaning'!$A$2:$P$142,3,FALSE)</f>
        <v>Alice Brown</v>
      </c>
      <c r="C135" t="str">
        <f>VLOOKUP(A135,'Data Cleaning'!$A$2:$P$142,5,FALSE)</f>
        <v>Marketing</v>
      </c>
      <c r="D135" t="str">
        <f>VLOOKUP(A135,'Data Cleaning'!$A$2:$P$142,7,FALSE)</f>
        <v>India</v>
      </c>
      <c r="E135" s="7">
        <f>VLOOKUP(A135,'Data Cleaning'!$A$2:$P$142,9,FALSE)</f>
        <v>86775</v>
      </c>
      <c r="F135" s="6">
        <f>VLOOKUP(A135,'Data Cleaning'!$A$2:$P$142,11,FALSE)</f>
        <v>43002</v>
      </c>
      <c r="G135" s="5">
        <f>VLOOKUP(A135,'Data Cleaning'!$A$2:$P$142,13,FALSE)</f>
        <v>3</v>
      </c>
      <c r="H135" t="str">
        <f>VLOOKUP(A135,'Data Cleaning'!$A$2:$P$142,15,FALSE)</f>
        <v>Other</v>
      </c>
      <c r="I135" t="str">
        <f>VLOOKUP(A135,'Data Cleaning'!$A$2:$P$142,16,FALSE)</f>
        <v>user190@example.com</v>
      </c>
    </row>
    <row r="136" spans="1:9" x14ac:dyDescent="0.3">
      <c r="A136" s="8" t="s">
        <v>152</v>
      </c>
      <c r="B136" t="str">
        <f>VLOOKUP(A136,'Data Cleaning'!$A$2:$P$142,3,FALSE)</f>
        <v>Chris Lee</v>
      </c>
      <c r="C136" t="str">
        <f>VLOOKUP(A136,'Data Cleaning'!$A$2:$P$142,5,FALSE)</f>
        <v>Sales</v>
      </c>
      <c r="D136" t="str">
        <f>VLOOKUP(A136,'Data Cleaning'!$A$2:$P$142,7,FALSE)</f>
        <v>UK</v>
      </c>
      <c r="E136" s="7">
        <f>VLOOKUP(A136,'Data Cleaning'!$A$2:$P$142,9,FALSE)</f>
        <v>91620</v>
      </c>
      <c r="F136" s="6">
        <f>VLOOKUP(A136,'Data Cleaning'!$A$2:$P$142,11,FALSE)</f>
        <v>43009</v>
      </c>
      <c r="G136" s="5">
        <f>VLOOKUP(A136,'Data Cleaning'!$A$2:$P$142,13,FALSE)</f>
        <v>2</v>
      </c>
      <c r="H136" t="str">
        <f>VLOOKUP(A136,'Data Cleaning'!$A$2:$P$142,15,FALSE)</f>
        <v>Female</v>
      </c>
      <c r="I136" t="str">
        <f>VLOOKUP(A136,'Data Cleaning'!$A$2:$P$142,16,FALSE)</f>
        <v>user114@example.com</v>
      </c>
    </row>
    <row r="137" spans="1:9" x14ac:dyDescent="0.3">
      <c r="A137" s="9" t="s">
        <v>153</v>
      </c>
      <c r="B137" t="str">
        <f>VLOOKUP(A137,'Data Cleaning'!$A$2:$P$142,3,FALSE)</f>
        <v>Eve Adams</v>
      </c>
      <c r="C137" t="str">
        <f>VLOOKUP(A137,'Data Cleaning'!$A$2:$P$142,5,FALSE)</f>
        <v>Marketing</v>
      </c>
      <c r="D137" t="str">
        <f>VLOOKUP(A137,'Data Cleaning'!$A$2:$P$142,7,FALSE)</f>
        <v>India</v>
      </c>
      <c r="E137" s="7">
        <f>VLOOKUP(A137,'Data Cleaning'!$A$2:$P$142,9,FALSE)</f>
        <v>94148</v>
      </c>
      <c r="F137" s="6">
        <f>VLOOKUP(A137,'Data Cleaning'!$A$2:$P$142,11,FALSE)</f>
        <v>43016</v>
      </c>
      <c r="G137" s="5">
        <f>VLOOKUP(A137,'Data Cleaning'!$A$2:$P$142,13,FALSE)</f>
        <v>2</v>
      </c>
      <c r="H137" t="str">
        <f>VLOOKUP(A137,'Data Cleaning'!$A$2:$P$142,15,FALSE)</f>
        <v>Female</v>
      </c>
      <c r="I137" t="str">
        <f>VLOOKUP(A137,'Data Cleaning'!$A$2:$P$142,16,FALSE)</f>
        <v>user53@example.com</v>
      </c>
    </row>
    <row r="138" spans="1:9" x14ac:dyDescent="0.3">
      <c r="A138" s="8" t="s">
        <v>154</v>
      </c>
      <c r="B138" t="str">
        <f>VLOOKUP(A138,'Data Cleaning'!$A$2:$P$142,3,FALSE)</f>
        <v>Sam Wilson</v>
      </c>
      <c r="C138" t="str">
        <f>VLOOKUP(A138,'Data Cleaning'!$A$2:$P$142,5,FALSE)</f>
        <v>Sales</v>
      </c>
      <c r="D138" t="str">
        <f>VLOOKUP(A138,'Data Cleaning'!$A$2:$P$142,7,FALSE)</f>
        <v>Australia</v>
      </c>
      <c r="E138" s="7">
        <f>VLOOKUP(A138,'Data Cleaning'!$A$2:$P$142,9,FALSE)</f>
        <v>35627</v>
      </c>
      <c r="F138" s="6">
        <f>VLOOKUP(A138,'Data Cleaning'!$A$2:$P$142,11,FALSE)</f>
        <v>43023</v>
      </c>
      <c r="G138" s="5">
        <f>VLOOKUP(A138,'Data Cleaning'!$A$2:$P$142,13,FALSE)</f>
        <v>5</v>
      </c>
      <c r="H138" t="str">
        <f>VLOOKUP(A138,'Data Cleaning'!$A$2:$P$142,15,FALSE)</f>
        <v>Female</v>
      </c>
      <c r="I138" t="str">
        <f>VLOOKUP(A138,'Data Cleaning'!$A$2:$P$142,16,FALSE)</f>
        <v>user188@example.com</v>
      </c>
    </row>
    <row r="139" spans="1:9" x14ac:dyDescent="0.3">
      <c r="A139" s="9" t="s">
        <v>155</v>
      </c>
      <c r="B139" t="str">
        <f>VLOOKUP(A139,'Data Cleaning'!$A$2:$P$142,3,FALSE)</f>
        <v>John Doe</v>
      </c>
      <c r="C139" t="str">
        <f>VLOOKUP(A139,'Data Cleaning'!$A$2:$P$142,5,FALSE)</f>
        <v>Marketing</v>
      </c>
      <c r="D139" t="str">
        <f>VLOOKUP(A139,'Data Cleaning'!$A$2:$P$142,7,FALSE)</f>
        <v>USA</v>
      </c>
      <c r="E139" s="7">
        <f>VLOOKUP(A139,'Data Cleaning'!$A$2:$P$142,9,FALSE)</f>
        <v>57141</v>
      </c>
      <c r="F139" s="6">
        <f>VLOOKUP(A139,'Data Cleaning'!$A$2:$P$142,11,FALSE)</f>
        <v>43030</v>
      </c>
      <c r="G139" s="5">
        <f>VLOOKUP(A139,'Data Cleaning'!$A$2:$P$142,13,FALSE)</f>
        <v>2</v>
      </c>
      <c r="H139" t="str">
        <f>VLOOKUP(A139,'Data Cleaning'!$A$2:$P$142,15,FALSE)</f>
        <v>Female</v>
      </c>
      <c r="I139" t="str">
        <f>VLOOKUP(A139,'Data Cleaning'!$A$2:$P$142,16,FALSE)</f>
        <v>user165@example.com</v>
      </c>
    </row>
    <row r="140" spans="1:9" x14ac:dyDescent="0.3">
      <c r="A140" s="8" t="s">
        <v>156</v>
      </c>
      <c r="B140" t="str">
        <f>VLOOKUP(A140,'Data Cleaning'!$A$2:$P$142,3,FALSE)</f>
        <v>Bob Johnson</v>
      </c>
      <c r="C140" t="str">
        <f>VLOOKUP(A140,'Data Cleaning'!$A$2:$P$142,5,FALSE)</f>
        <v>Sales</v>
      </c>
      <c r="D140" t="str">
        <f>VLOOKUP(A140,'Data Cleaning'!$A$2:$P$142,7,FALSE)</f>
        <v>Australia</v>
      </c>
      <c r="E140" s="7">
        <f>VLOOKUP(A140,'Data Cleaning'!$A$2:$P$142,9,FALSE)</f>
        <v>65270</v>
      </c>
      <c r="F140" s="6">
        <f>VLOOKUP(A140,'Data Cleaning'!$A$2:$P$142,11,FALSE)</f>
        <v>43037</v>
      </c>
      <c r="G140" s="5">
        <f>VLOOKUP(A140,'Data Cleaning'!$A$2:$P$142,13,FALSE)</f>
        <v>1</v>
      </c>
      <c r="H140" t="str">
        <f>VLOOKUP(A140,'Data Cleaning'!$A$2:$P$142,15,FALSE)</f>
        <v>Female</v>
      </c>
      <c r="I140" t="str">
        <f>VLOOKUP(A140,'Data Cleaning'!$A$2:$P$142,16,FALSE)</f>
        <v>user163@example.com</v>
      </c>
    </row>
    <row r="141" spans="1:9" x14ac:dyDescent="0.3">
      <c r="A141" s="9" t="s">
        <v>157</v>
      </c>
      <c r="B141" t="str">
        <f>VLOOKUP(A141,'Data Cleaning'!$A$2:$P$142,3,FALSE)</f>
        <v>Bob Johnson</v>
      </c>
      <c r="C141" t="str">
        <f>VLOOKUP(A141,'Data Cleaning'!$A$2:$P$142,5,FALSE)</f>
        <v>Marketing</v>
      </c>
      <c r="D141" t="str">
        <f>VLOOKUP(A141,'Data Cleaning'!$A$2:$P$142,7,FALSE)</f>
        <v>UK</v>
      </c>
      <c r="E141" s="7">
        <f>VLOOKUP(A141,'Data Cleaning'!$A$2:$P$142,9,FALSE)</f>
        <v>67335</v>
      </c>
      <c r="F141" s="6">
        <f>VLOOKUP(A141,'Data Cleaning'!$A$2:$P$142,11,FALSE)</f>
        <v>43044</v>
      </c>
      <c r="G141" s="5">
        <f>VLOOKUP(A141,'Data Cleaning'!$A$2:$P$142,13,FALSE)</f>
        <v>1</v>
      </c>
      <c r="H141" t="str">
        <f>VLOOKUP(A141,'Data Cleaning'!$A$2:$P$142,15,FALSE)</f>
        <v>Other</v>
      </c>
      <c r="I141" t="str">
        <f>VLOOKUP(A141,'Data Cleaning'!$A$2:$P$142,16,FALSE)</f>
        <v>user112@example.com</v>
      </c>
    </row>
    <row r="142" spans="1:9" x14ac:dyDescent="0.3">
      <c r="A142" s="8" t="s">
        <v>158</v>
      </c>
      <c r="B142" t="str">
        <f>VLOOKUP(A142,'Data Cleaning'!$A$2:$P$142,3,FALSE)</f>
        <v>Sam Wilson</v>
      </c>
      <c r="C142" t="str">
        <f>VLOOKUP(A142,'Data Cleaning'!$A$2:$P$142,5,FALSE)</f>
        <v>Marketing</v>
      </c>
      <c r="D142" t="str">
        <f>VLOOKUP(A142,'Data Cleaning'!$A$2:$P$142,7,FALSE)</f>
        <v>India</v>
      </c>
      <c r="E142" s="7">
        <f>VLOOKUP(A142,'Data Cleaning'!$A$2:$P$142,9,FALSE)</f>
        <v>98475</v>
      </c>
      <c r="F142" s="6">
        <f>VLOOKUP(A142,'Data Cleaning'!$A$2:$P$142,11,FALSE)</f>
        <v>43051</v>
      </c>
      <c r="G142" s="5">
        <f>VLOOKUP(A142,'Data Cleaning'!$A$2:$P$142,13,FALSE)</f>
        <v>5</v>
      </c>
      <c r="H142" t="str">
        <f>VLOOKUP(A142,'Data Cleaning'!$A$2:$P$142,15,FALSE)</f>
        <v>Other</v>
      </c>
      <c r="I142" t="str">
        <f>VLOOKUP(A142,'Data Cleaning'!$A$2:$P$142,16,FALSE)</f>
        <v>user30@example.com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 Cleaning</vt:lpstr>
      <vt:lpstr>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2025-05-31T18:11:07Z</dcterms:created>
  <dcterms:modified xsi:type="dcterms:W3CDTF">2026-01-31T14:01:39Z</dcterms:modified>
</cp:coreProperties>
</file>