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B3425B0E-000B-4A6F-9FA0-E10ABAB3934A}" xr6:coauthVersionLast="47" xr6:coauthVersionMax="47" xr10:uidLastSave="{00000000-0000-0000-0000-000000000000}"/>
  <bookViews>
    <workbookView xWindow="-108" yWindow="-108" windowWidth="23256" windowHeight="12456" activeTab="2" xr2:uid="{1D234FB6-B230-4738-BD65-72F01105C4DE}"/>
  </bookViews>
  <sheets>
    <sheet name="Sheet1" sheetId="1" r:id="rId1"/>
    <sheet name="Cleaned" sheetId="2" r:id="rId2"/>
    <sheet name="V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<sst xmlns="http://schemas.openxmlformats.org/spreadsheetml/2006/main" count="1819" uniqueCount="283">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</sst>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A6FF6-F8A3-4DC7-99CF-9C90F1673FF0}" name="Table1" displayName="Table1" ref="A1:I142" totalsRowShown="0" headerRowDxfId="12">
  <autoFilter ref="A1:I142" xr:uid="{963A6FF6-F8A3-4DC7-99CF-9C90F1673FF0}"/>
  <tableColumns count="9">
    <tableColumn id="1" xr3:uid="{5AB3A249-8A30-4B79-8D06-C57C41747EAD}" name="Employee Id"/>
    <tableColumn id="2" xr3:uid="{CCBF3CDF-B2DC-4BEC-A38C-EF48E4EB7AB1}" name="Name"/>
    <tableColumn id="3" xr3:uid="{EFB843C0-F2F3-418A-AA7A-D5C9B38B8918}" name="Department"/>
    <tableColumn id="4" xr3:uid="{807F87DE-EDE6-4450-9FBB-940D277F1801}" name="Country"/>
    <tableColumn id="5" xr3:uid="{F2BEF5FB-AA2B-43AA-84A5-21C89967E6E8}" name="Salary" dataDxfId="11"/>
    <tableColumn id="6" xr3:uid="{C245C983-F60F-4303-8458-A77E4D696B96}" name="Date Of Joining" dataDxfId="10"/>
    <tableColumn id="7" xr3:uid="{E0E2D78A-CA56-4A83-B406-798BF5A31768}" name="Performance Rating" dataDxfId="9"/>
    <tableColumn id="8" xr3:uid="{6A3E536B-495E-4150-8E69-2256A015DE36}" name="Gender"/>
    <tableColumn id="9" xr3:uid="{5FFD3A48-F15D-447D-AB5E-097B96AA0D71}" name="Email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E6DD9-FCED-445B-B3D3-DD8FF0B15859}" name="Table3" displayName="Table3" ref="A1:I142" totalsRowShown="0" headerRowDxfId="8">
  <autoFilter ref="A1:I142" xr:uid="{851E6DD9-FCED-445B-B3D3-DD8FF0B15859}"/>
  <tableColumns count="9">
    <tableColumn id="1" xr3:uid="{0644CACC-4419-42B9-BAB7-2F57AE609571}" name="Employee Id"/>
    <tableColumn id="2" xr3:uid="{963F6D61-5227-424A-BCF0-A7D226AD189F}" name="Name" dataDxfId="7">
      <calculatedColumnFormula>VLOOKUP($A2,Cleaned!$A$2:$I$142,2,FALSE)</calculatedColumnFormula>
    </tableColumn>
    <tableColumn id="3" xr3:uid="{03E46F9A-C1EF-4BCC-BFF8-929CB2549303}" name="Department" dataDxfId="6">
      <calculatedColumnFormula>VLOOKUP($A2,Cleaned!$A$2:$I$142,3,FALSE)</calculatedColumnFormula>
    </tableColumn>
    <tableColumn id="4" xr3:uid="{82AEE10E-A923-4A54-A4AD-4C9861AA9F96}" name="Country" dataDxfId="5">
      <calculatedColumnFormula>VLOOKUP($A2,Cleaned!$A$2:$I$142,4,FALSE)</calculatedColumnFormula>
    </tableColumn>
    <tableColumn id="5" xr3:uid="{75CE0C75-30E1-4A8C-9EB1-0F5CD067ED86}" name="Salary" dataDxfId="4">
      <calculatedColumnFormula>VLOOKUP($A2,Cleaned!$A$2:$I$142,5,FALSE)</calculatedColumnFormula>
    </tableColumn>
    <tableColumn id="6" xr3:uid="{B1203616-CD5C-42BA-86C4-E01115480533}" name="Date Of Joining" dataDxfId="3">
      <calculatedColumnFormula>VLOOKUP($A2,Cleaned!$A$2:$I$142,6,FALSE)</calculatedColumnFormula>
    </tableColumn>
    <tableColumn id="7" xr3:uid="{9C3A7688-F402-4985-8A85-DFEDA6743E3F}" name="Performance Rating" dataDxfId="2">
      <calculatedColumnFormula>VLOOKUP($A2,Cleaned!$A$2:$I$142,7,FALSE)</calculatedColumnFormula>
    </tableColumn>
    <tableColumn id="8" xr3:uid="{88AB7068-91E6-48EF-A09A-DFA719DB83D5}" name="Gender" dataDxfId="1">
      <calculatedColumnFormula>VLOOKUP($A2,Cleaned!$A$2:$I$142,8,FALSE)</calculatedColumnFormula>
    </tableColumn>
    <tableColumn id="9" xr3:uid="{8824C553-F7C7-417A-A840-7E9642077D5B}" name="Email" dataDxfId="0">
      <calculatedColumnFormula>VLOOKUP($A2,Cleaned!$A$2:$I$142,9,FALSE)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D8C4-5EE2-4AFC-B5B8-AEC3670120E6}">
  <dimension ref="A1:I151"/>
  <sheetViews>
    <sheetView workbookViewId="0">
      <selection activeCell="I13" sqref="A1:I15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870B-861A-4ED0-8D61-19260DD67C3C}">
  <dimension ref="A1:I142"/>
  <sheetViews>
    <sheetView workbookViewId="0">
      <selection activeCell="B7" sqref="B7"/>
    </sheetView>
  </sheetViews>
  <sheetFormatPr defaultRowHeight="14.4" x14ac:dyDescent="0.3"/>
  <cols>
    <col min="1" max="1" width="15.6640625" bestFit="1" customWidth="1"/>
    <col min="2" max="2" width="14.33203125" customWidth="1"/>
    <col min="3" max="3" width="15.44140625" bestFit="1" customWidth="1"/>
    <col min="4" max="4" width="11.88671875" bestFit="1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</cols>
  <sheetData>
    <row r="1" spans="1:9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</row>
    <row r="3" spans="1:9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9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9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9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9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9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9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9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9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9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9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B56E-4A6A-4648-9495-76382CC62A3B}">
  <dimension ref="A1:I142"/>
  <sheetViews>
    <sheetView tabSelected="1" workbookViewId="0">
      <selection activeCell="C21" sqref="C21"/>
    </sheetView>
  </sheetViews>
  <sheetFormatPr defaultRowHeight="14.4" x14ac:dyDescent="0.3"/>
  <cols>
    <col min="1" max="1" width="15.6640625" bestFit="1" customWidth="1"/>
    <col min="2" max="2" width="15.44140625" customWidth="1"/>
    <col min="3" max="3" width="15.44140625" bestFit="1" customWidth="1"/>
    <col min="4" max="4" width="11.88671875" bestFit="1" customWidth="1"/>
    <col min="5" max="5" width="12.5546875" customWidth="1"/>
    <col min="6" max="6" width="19.33203125" customWidth="1"/>
    <col min="7" max="7" width="21.88671875" bestFit="1" customWidth="1"/>
    <col min="8" max="8" width="12.6640625" customWidth="1"/>
    <col min="9" max="9" width="22.109375" customWidth="1"/>
  </cols>
  <sheetData>
    <row r="1" spans="1:9" s="3" customFormat="1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tr">
        <f>VLOOKUP($A2,Cleaned!$A$2:$I$142,2,FALSE)</f>
        <v>Eve Adams</v>
      </c>
      <c r="C2" t="str">
        <f>VLOOKUP($A2,Cleaned!$A$2:$I$142,3,FALSE)</f>
        <v>HR</v>
      </c>
      <c r="D2" t="str">
        <f>VLOOKUP($A2,Cleaned!$A$2:$I$142,4,FALSE)</f>
        <v>Germany</v>
      </c>
      <c r="E2" s="4">
        <f>VLOOKUP($A2,Cleaned!$A$2:$I$142,5,FALSE)</f>
        <v>54255</v>
      </c>
      <c r="F2" s="5">
        <f>VLOOKUP($A2,Cleaned!$A$2:$I$142,6,FALSE)</f>
        <v>42015</v>
      </c>
      <c r="G2">
        <f>VLOOKUP($A2,Cleaned!$A$2:$I$142,7,FALSE)</f>
        <v>1</v>
      </c>
      <c r="H2" t="str">
        <f>VLOOKUP($A2,Cleaned!$A$2:$I$142,8,FALSE)</f>
        <v>Other</v>
      </c>
      <c r="I2" t="str">
        <f>VLOOKUP($A2,Cleaned!$A$2:$I$142,9,FALSE)</f>
        <v>user106@example.com</v>
      </c>
    </row>
    <row r="3" spans="1:9" x14ac:dyDescent="0.3">
      <c r="A3" t="s">
        <v>21</v>
      </c>
      <c r="B3" t="str">
        <f>VLOOKUP($A3,Cleaned!$A$2:$I$142,2,FALSE)</f>
        <v>Alice Brown</v>
      </c>
      <c r="C3" t="str">
        <f>VLOOKUP($A3,Cleaned!$A$2:$I$142,3,FALSE)</f>
        <v>Finance</v>
      </c>
      <c r="D3" t="str">
        <f>VLOOKUP($A3,Cleaned!$A$2:$I$142,4,FALSE)</f>
        <v>Germany</v>
      </c>
      <c r="E3" s="4">
        <f>VLOOKUP($A3,Cleaned!$A$2:$I$142,5,FALSE)</f>
        <v>63184</v>
      </c>
      <c r="F3" s="5">
        <f>VLOOKUP($A3,Cleaned!$A$2:$I$142,6,FALSE)</f>
        <v>42022</v>
      </c>
      <c r="G3">
        <f>VLOOKUP($A3,Cleaned!$A$2:$I$142,7,FALSE)</f>
        <v>2</v>
      </c>
      <c r="H3" t="str">
        <f>VLOOKUP($A3,Cleaned!$A$2:$I$142,8,FALSE)</f>
        <v>Female</v>
      </c>
      <c r="I3" t="str">
        <f>VLOOKUP($A3,Cleaned!$A$2:$I$142,9,FALSE)</f>
        <v>user176@example.com</v>
      </c>
    </row>
    <row r="4" spans="1:9" x14ac:dyDescent="0.3">
      <c r="A4" t="s">
        <v>24</v>
      </c>
      <c r="B4" t="str">
        <f>VLOOKUP($A4,Cleaned!$A$2:$I$142,2,FALSE)</f>
        <v>John Doe</v>
      </c>
      <c r="C4" t="str">
        <f>VLOOKUP($A4,Cleaned!$A$2:$I$142,3,FALSE)</f>
        <v>Sales</v>
      </c>
      <c r="D4" t="str">
        <f>VLOOKUP($A4,Cleaned!$A$2:$I$142,4,FALSE)</f>
        <v>USA</v>
      </c>
      <c r="E4" s="4">
        <f>VLOOKUP($A4,Cleaned!$A$2:$I$142,5,FALSE)</f>
        <v>94406</v>
      </c>
      <c r="F4" s="5">
        <f>VLOOKUP($A4,Cleaned!$A$2:$I$142,6,FALSE)</f>
        <v>42029</v>
      </c>
      <c r="G4">
        <f>VLOOKUP($A4,Cleaned!$A$2:$I$142,7,FALSE)</f>
        <v>1</v>
      </c>
      <c r="H4" t="str">
        <f>VLOOKUP($A4,Cleaned!$A$2:$I$142,8,FALSE)</f>
        <v>Male</v>
      </c>
      <c r="I4" t="str">
        <f>VLOOKUP($A4,Cleaned!$A$2:$I$142,9,FALSE)</f>
        <v>user168@example.com</v>
      </c>
    </row>
    <row r="5" spans="1:9" x14ac:dyDescent="0.3">
      <c r="A5" t="s">
        <v>30</v>
      </c>
      <c r="B5" t="str">
        <f>VLOOKUP($A5,Cleaned!$A$2:$I$142,2,FALSE)</f>
        <v>Jane Smith</v>
      </c>
      <c r="C5" t="str">
        <f>VLOOKUP($A5,Cleaned!$A$2:$I$142,3,FALSE)</f>
        <v>Sales</v>
      </c>
      <c r="D5" t="str">
        <f>VLOOKUP($A5,Cleaned!$A$2:$I$142,4,FALSE)</f>
        <v>Germany</v>
      </c>
      <c r="E5" s="4">
        <f>VLOOKUP($A5,Cleaned!$A$2:$I$142,5,FALSE)</f>
        <v>64120</v>
      </c>
      <c r="F5" s="5">
        <f>VLOOKUP($A5,Cleaned!$A$2:$I$142,6,FALSE)</f>
        <v>42036</v>
      </c>
      <c r="G5">
        <f>VLOOKUP($A5,Cleaned!$A$2:$I$142,7,FALSE)</f>
        <v>1</v>
      </c>
      <c r="H5" t="str">
        <f>VLOOKUP($A5,Cleaned!$A$2:$I$142,8,FALSE)</f>
        <v>Male</v>
      </c>
      <c r="I5" t="str">
        <f>VLOOKUP($A5,Cleaned!$A$2:$I$142,9,FALSE)</f>
        <v>user49@example.com</v>
      </c>
    </row>
    <row r="6" spans="1:9" x14ac:dyDescent="0.3">
      <c r="A6" t="s">
        <v>33</v>
      </c>
      <c r="B6" t="str">
        <f>VLOOKUP($A6,Cleaned!$A$2:$I$142,2,FALSE)</f>
        <v>Alice Brown</v>
      </c>
      <c r="C6" t="str">
        <f>VLOOKUP($A6,Cleaned!$A$2:$I$142,3,FALSE)</f>
        <v>IT</v>
      </c>
      <c r="D6" t="str">
        <f>VLOOKUP($A6,Cleaned!$A$2:$I$142,4,FALSE)</f>
        <v>India</v>
      </c>
      <c r="E6" s="4">
        <f>VLOOKUP($A6,Cleaned!$A$2:$I$142,5,FALSE)</f>
        <v>78421</v>
      </c>
      <c r="F6" s="5">
        <f>VLOOKUP($A6,Cleaned!$A$2:$I$142,6,FALSE)</f>
        <v>42043</v>
      </c>
      <c r="G6">
        <f>VLOOKUP($A6,Cleaned!$A$2:$I$142,7,FALSE)</f>
        <v>2</v>
      </c>
      <c r="H6" t="str">
        <f>VLOOKUP($A6,Cleaned!$A$2:$I$142,8,FALSE)</f>
        <v>Female</v>
      </c>
      <c r="I6" t="str">
        <f>VLOOKUP($A6,Cleaned!$A$2:$I$142,9,FALSE)</f>
        <v>user24@example.com</v>
      </c>
    </row>
    <row r="7" spans="1:9" x14ac:dyDescent="0.3">
      <c r="A7" t="s">
        <v>38</v>
      </c>
      <c r="B7" t="str">
        <f>VLOOKUP($A7,Cleaned!$A$2:$I$142,2,FALSE)</f>
        <v>Sam Wilson</v>
      </c>
      <c r="C7" t="str">
        <f>VLOOKUP($A7,Cleaned!$A$2:$I$142,3,FALSE)</f>
        <v>Sales</v>
      </c>
      <c r="D7" t="str">
        <f>VLOOKUP($A7,Cleaned!$A$2:$I$142,4,FALSE)</f>
        <v>India</v>
      </c>
      <c r="E7" s="4">
        <f>VLOOKUP($A7,Cleaned!$A$2:$I$142,5,FALSE)</f>
        <v>67721</v>
      </c>
      <c r="F7" s="5">
        <f>VLOOKUP($A7,Cleaned!$A$2:$I$142,6,FALSE)</f>
        <v>42050</v>
      </c>
      <c r="G7">
        <f>VLOOKUP($A7,Cleaned!$A$2:$I$142,7,FALSE)</f>
        <v>2</v>
      </c>
      <c r="H7" t="str">
        <f>VLOOKUP($A7,Cleaned!$A$2:$I$142,8,FALSE)</f>
        <v>Male</v>
      </c>
      <c r="I7" t="str">
        <f>VLOOKUP($A7,Cleaned!$A$2:$I$142,9,FALSE)</f>
        <v>user168@example.com</v>
      </c>
    </row>
    <row r="8" spans="1:9" x14ac:dyDescent="0.3">
      <c r="A8" t="s">
        <v>40</v>
      </c>
      <c r="B8" t="str">
        <f>VLOOKUP($A8,Cleaned!$A$2:$I$142,2,FALSE)</f>
        <v>Chris Lee</v>
      </c>
      <c r="C8" t="str">
        <f>VLOOKUP($A8,Cleaned!$A$2:$I$142,3,FALSE)</f>
        <v>Marketing</v>
      </c>
      <c r="D8" t="str">
        <f>VLOOKUP($A8,Cleaned!$A$2:$I$142,4,FALSE)</f>
        <v>India</v>
      </c>
      <c r="E8" s="4">
        <f>VLOOKUP($A8,Cleaned!$A$2:$I$142,5,FALSE)</f>
        <v>35364</v>
      </c>
      <c r="F8" s="5">
        <f>VLOOKUP($A8,Cleaned!$A$2:$I$142,6,FALSE)</f>
        <v>42057</v>
      </c>
      <c r="G8">
        <f>VLOOKUP($A8,Cleaned!$A$2:$I$142,7,FALSE)</f>
        <v>2</v>
      </c>
      <c r="H8" t="str">
        <f>VLOOKUP($A8,Cleaned!$A$2:$I$142,8,FALSE)</f>
        <v>Other</v>
      </c>
      <c r="I8" t="str">
        <f>VLOOKUP($A8,Cleaned!$A$2:$I$142,9,FALSE)</f>
        <v>user26@example.com</v>
      </c>
    </row>
    <row r="9" spans="1:9" x14ac:dyDescent="0.3">
      <c r="A9" t="s">
        <v>44</v>
      </c>
      <c r="B9" t="str">
        <f>VLOOKUP($A9,Cleaned!$A$2:$I$142,2,FALSE)</f>
        <v>Alice Brown</v>
      </c>
      <c r="C9" t="str">
        <f>VLOOKUP($A9,Cleaned!$A$2:$I$142,3,FALSE)</f>
        <v>IT</v>
      </c>
      <c r="D9" t="str">
        <f>VLOOKUP($A9,Cleaned!$A$2:$I$142,4,FALSE)</f>
        <v>Germany</v>
      </c>
      <c r="E9" s="4">
        <f>VLOOKUP($A9,Cleaned!$A$2:$I$142,5,FALSE)</f>
        <v>97881</v>
      </c>
      <c r="F9" s="5">
        <f>VLOOKUP($A9,Cleaned!$A$2:$I$142,6,FALSE)</f>
        <v>42064</v>
      </c>
      <c r="G9">
        <f>VLOOKUP($A9,Cleaned!$A$2:$I$142,7,FALSE)</f>
        <v>2</v>
      </c>
      <c r="H9" t="str">
        <f>VLOOKUP($A9,Cleaned!$A$2:$I$142,8,FALSE)</f>
        <v>Female</v>
      </c>
      <c r="I9" t="str">
        <f>VLOOKUP($A9,Cleaned!$A$2:$I$142,9,FALSE)</f>
        <v>user25@example.com</v>
      </c>
    </row>
    <row r="10" spans="1:9" x14ac:dyDescent="0.3">
      <c r="A10" t="s">
        <v>46</v>
      </c>
      <c r="B10" t="str">
        <f>VLOOKUP($A10,Cleaned!$A$2:$I$142,2,FALSE)</f>
        <v>Chris Lee</v>
      </c>
      <c r="C10" t="str">
        <f>VLOOKUP($A10,Cleaned!$A$2:$I$142,3,FALSE)</f>
        <v>HR</v>
      </c>
      <c r="D10" t="str">
        <f>VLOOKUP($A10,Cleaned!$A$2:$I$142,4,FALSE)</f>
        <v>UK</v>
      </c>
      <c r="E10" s="4">
        <f>VLOOKUP($A10,Cleaned!$A$2:$I$142,5,FALSE)</f>
        <v>91846</v>
      </c>
      <c r="F10" s="5">
        <f>VLOOKUP($A10,Cleaned!$A$2:$I$142,6,FALSE)</f>
        <v>42071</v>
      </c>
      <c r="G10">
        <f>VLOOKUP($A10,Cleaned!$A$2:$I$142,7,FALSE)</f>
        <v>2</v>
      </c>
      <c r="H10" t="str">
        <f>VLOOKUP($A10,Cleaned!$A$2:$I$142,8,FALSE)</f>
        <v>Male</v>
      </c>
      <c r="I10" t="str">
        <f>VLOOKUP($A10,Cleaned!$A$2:$I$142,9,FALSE)</f>
        <v>user153@example.com</v>
      </c>
    </row>
    <row r="11" spans="1:9" x14ac:dyDescent="0.3">
      <c r="A11" t="s">
        <v>49</v>
      </c>
      <c r="B11" t="str">
        <f>VLOOKUP($A11,Cleaned!$A$2:$I$142,2,FALSE)</f>
        <v>Sam Wilson</v>
      </c>
      <c r="C11" t="str">
        <f>VLOOKUP($A11,Cleaned!$A$2:$I$142,3,FALSE)</f>
        <v>Finance</v>
      </c>
      <c r="D11" t="str">
        <f>VLOOKUP($A11,Cleaned!$A$2:$I$142,4,FALSE)</f>
        <v>UK</v>
      </c>
      <c r="E11" s="4">
        <f>VLOOKUP($A11,Cleaned!$A$2:$I$142,5,FALSE)</f>
        <v>64247</v>
      </c>
      <c r="F11" s="5">
        <f>VLOOKUP($A11,Cleaned!$A$2:$I$142,6,FALSE)</f>
        <v>42078</v>
      </c>
      <c r="G11">
        <f>VLOOKUP($A11,Cleaned!$A$2:$I$142,7,FALSE)</f>
        <v>1</v>
      </c>
      <c r="H11" t="str">
        <f>VLOOKUP($A11,Cleaned!$A$2:$I$142,8,FALSE)</f>
        <v>Female</v>
      </c>
      <c r="I11" t="str">
        <f>VLOOKUP($A11,Cleaned!$A$2:$I$142,9,FALSE)</f>
        <v>user18@example.com</v>
      </c>
    </row>
    <row r="12" spans="1:9" x14ac:dyDescent="0.3">
      <c r="A12" t="s">
        <v>51</v>
      </c>
      <c r="B12" t="str">
        <f>VLOOKUP($A12,Cleaned!$A$2:$I$142,2,FALSE)</f>
        <v>Sam Wilson</v>
      </c>
      <c r="C12" t="str">
        <f>VLOOKUP($A12,Cleaned!$A$2:$I$142,3,FALSE)</f>
        <v>IT</v>
      </c>
      <c r="D12" t="str">
        <f>VLOOKUP($A12,Cleaned!$A$2:$I$142,4,FALSE)</f>
        <v>USA</v>
      </c>
      <c r="E12" s="4">
        <f>VLOOKUP($A12,Cleaned!$A$2:$I$142,5,FALSE)</f>
        <v>91180</v>
      </c>
      <c r="F12" s="5">
        <f>VLOOKUP($A12,Cleaned!$A$2:$I$142,6,FALSE)</f>
        <v>42085</v>
      </c>
      <c r="G12">
        <f>VLOOKUP($A12,Cleaned!$A$2:$I$142,7,FALSE)</f>
        <v>5</v>
      </c>
      <c r="H12" t="str">
        <f>VLOOKUP($A12,Cleaned!$A$2:$I$142,8,FALSE)</f>
        <v>Male</v>
      </c>
      <c r="I12" t="str">
        <f>VLOOKUP($A12,Cleaned!$A$2:$I$142,9,FALSE)</f>
        <v>user1@example.com</v>
      </c>
    </row>
    <row r="13" spans="1:9" x14ac:dyDescent="0.3">
      <c r="A13" t="s">
        <v>53</v>
      </c>
      <c r="B13" t="str">
        <f>VLOOKUP($A13,Cleaned!$A$2:$I$142,2,FALSE)</f>
        <v>Bob Johnson</v>
      </c>
      <c r="C13" t="str">
        <f>VLOOKUP($A13,Cleaned!$A$2:$I$142,3,FALSE)</f>
        <v>Sales</v>
      </c>
      <c r="D13" t="str">
        <f>VLOOKUP($A13,Cleaned!$A$2:$I$142,4,FALSE)</f>
        <v>India</v>
      </c>
      <c r="E13" s="4">
        <f>VLOOKUP($A13,Cleaned!$A$2:$I$142,5,FALSE)</f>
        <v>96418</v>
      </c>
      <c r="F13" s="5">
        <f>VLOOKUP($A13,Cleaned!$A$2:$I$142,6,FALSE)</f>
        <v>42092</v>
      </c>
      <c r="G13">
        <f>VLOOKUP($A13,Cleaned!$A$2:$I$142,7,FALSE)</f>
        <v>5</v>
      </c>
      <c r="H13" t="str">
        <f>VLOOKUP($A13,Cleaned!$A$2:$I$142,8,FALSE)</f>
        <v>Male</v>
      </c>
      <c r="I13" t="str">
        <f>VLOOKUP($A13,Cleaned!$A$2:$I$142,9,FALSE)</f>
        <v>user106@example.com</v>
      </c>
    </row>
    <row r="14" spans="1:9" x14ac:dyDescent="0.3">
      <c r="A14" t="s">
        <v>55</v>
      </c>
      <c r="B14" t="str">
        <f>VLOOKUP($A14,Cleaned!$A$2:$I$142,2,FALSE)</f>
        <v>Sam Wilson</v>
      </c>
      <c r="C14" t="str">
        <f>VLOOKUP($A14,Cleaned!$A$2:$I$142,3,FALSE)</f>
        <v>Marketing</v>
      </c>
      <c r="D14" t="str">
        <f>VLOOKUP($A14,Cleaned!$A$2:$I$142,4,FALSE)</f>
        <v>India</v>
      </c>
      <c r="E14" s="4">
        <f>VLOOKUP($A14,Cleaned!$A$2:$I$142,5,FALSE)</f>
        <v>62158</v>
      </c>
      <c r="F14" s="5">
        <f>VLOOKUP($A14,Cleaned!$A$2:$I$142,6,FALSE)</f>
        <v>42099</v>
      </c>
      <c r="G14">
        <f>VLOOKUP($A14,Cleaned!$A$2:$I$142,7,FALSE)</f>
        <v>4</v>
      </c>
      <c r="H14" t="str">
        <f>VLOOKUP($A14,Cleaned!$A$2:$I$142,8,FALSE)</f>
        <v>Female</v>
      </c>
      <c r="I14" t="str">
        <f>VLOOKUP($A14,Cleaned!$A$2:$I$142,9,FALSE)</f>
        <v>user180@example.com</v>
      </c>
    </row>
    <row r="15" spans="1:9" x14ac:dyDescent="0.3">
      <c r="A15" t="s">
        <v>57</v>
      </c>
      <c r="B15" t="str">
        <f>VLOOKUP($A15,Cleaned!$A$2:$I$142,2,FALSE)</f>
        <v>Jane Smith</v>
      </c>
      <c r="C15" t="str">
        <f>VLOOKUP($A15,Cleaned!$A$2:$I$142,3,FALSE)</f>
        <v>HR</v>
      </c>
      <c r="D15" t="str">
        <f>VLOOKUP($A15,Cleaned!$A$2:$I$142,4,FALSE)</f>
        <v>India</v>
      </c>
      <c r="E15" s="4">
        <f>VLOOKUP($A15,Cleaned!$A$2:$I$142,5,FALSE)</f>
        <v>59894</v>
      </c>
      <c r="F15" s="5">
        <f>VLOOKUP($A15,Cleaned!$A$2:$I$142,6,FALSE)</f>
        <v>42106</v>
      </c>
      <c r="G15">
        <f>VLOOKUP($A15,Cleaned!$A$2:$I$142,7,FALSE)</f>
        <v>2</v>
      </c>
      <c r="H15" t="str">
        <f>VLOOKUP($A15,Cleaned!$A$2:$I$142,8,FALSE)</f>
        <v>Male</v>
      </c>
      <c r="I15" t="str">
        <f>VLOOKUP($A15,Cleaned!$A$2:$I$142,9,FALSE)</f>
        <v>user184@example.com</v>
      </c>
    </row>
    <row r="16" spans="1:9" x14ac:dyDescent="0.3">
      <c r="A16" t="s">
        <v>59</v>
      </c>
      <c r="B16" t="str">
        <f>VLOOKUP($A16,Cleaned!$A$2:$I$142,2,FALSE)</f>
        <v>Unknown</v>
      </c>
      <c r="C16" t="str">
        <f>VLOOKUP($A16,Cleaned!$A$2:$I$142,3,FALSE)</f>
        <v>IT</v>
      </c>
      <c r="D16" t="str">
        <f>VLOOKUP($A16,Cleaned!$A$2:$I$142,4,FALSE)</f>
        <v>India</v>
      </c>
      <c r="E16" s="4">
        <f>VLOOKUP($A16,Cleaned!$A$2:$I$142,5,FALSE)</f>
        <v>92443</v>
      </c>
      <c r="F16" s="5">
        <f>VLOOKUP($A16,Cleaned!$A$2:$I$142,6,FALSE)</f>
        <v>42113</v>
      </c>
      <c r="G16">
        <f>VLOOKUP($A16,Cleaned!$A$2:$I$142,7,FALSE)</f>
        <v>3</v>
      </c>
      <c r="H16" t="str">
        <f>VLOOKUP($A16,Cleaned!$A$2:$I$142,8,FALSE)</f>
        <v>Other</v>
      </c>
      <c r="I16" t="str">
        <f>VLOOKUP($A16,Cleaned!$A$2:$I$142,9,FALSE)</f>
        <v>user3@example.com</v>
      </c>
    </row>
    <row r="17" spans="1:9" x14ac:dyDescent="0.3">
      <c r="A17" t="s">
        <v>61</v>
      </c>
      <c r="B17" t="str">
        <f>VLOOKUP($A17,Cleaned!$A$2:$I$142,2,FALSE)</f>
        <v>Bob Johnson</v>
      </c>
      <c r="C17" t="str">
        <f>VLOOKUP($A17,Cleaned!$A$2:$I$142,3,FALSE)</f>
        <v>Marketing</v>
      </c>
      <c r="D17" t="str">
        <f>VLOOKUP($A17,Cleaned!$A$2:$I$142,4,FALSE)</f>
        <v>Germany</v>
      </c>
      <c r="E17" s="4">
        <f>VLOOKUP($A17,Cleaned!$A$2:$I$142,5,FALSE)</f>
        <v>90271</v>
      </c>
      <c r="F17" s="5">
        <f>VLOOKUP($A17,Cleaned!$A$2:$I$142,6,FALSE)</f>
        <v>42120</v>
      </c>
      <c r="G17">
        <f>VLOOKUP($A17,Cleaned!$A$2:$I$142,7,FALSE)</f>
        <v>2</v>
      </c>
      <c r="H17" t="str">
        <f>VLOOKUP($A17,Cleaned!$A$2:$I$142,8,FALSE)</f>
        <v>Female</v>
      </c>
      <c r="I17" t="str">
        <f>VLOOKUP($A17,Cleaned!$A$2:$I$142,9,FALSE)</f>
        <v>user64@example.com</v>
      </c>
    </row>
    <row r="18" spans="1:9" x14ac:dyDescent="0.3">
      <c r="A18" t="s">
        <v>63</v>
      </c>
      <c r="B18" t="str">
        <f>VLOOKUP($A18,Cleaned!$A$2:$I$142,2,FALSE)</f>
        <v>Jane Smith</v>
      </c>
      <c r="C18" t="str">
        <f>VLOOKUP($A18,Cleaned!$A$2:$I$142,3,FALSE)</f>
        <v>Finance</v>
      </c>
      <c r="D18" t="str">
        <f>VLOOKUP($A18,Cleaned!$A$2:$I$142,4,FALSE)</f>
        <v>Australia</v>
      </c>
      <c r="E18" s="4">
        <f>VLOOKUP($A18,Cleaned!$A$2:$I$142,5,FALSE)</f>
        <v>41341</v>
      </c>
      <c r="F18" s="5">
        <f>VLOOKUP($A18,Cleaned!$A$2:$I$142,6,FALSE)</f>
        <v>42127</v>
      </c>
      <c r="G18">
        <f>VLOOKUP($A18,Cleaned!$A$2:$I$142,7,FALSE)</f>
        <v>1</v>
      </c>
      <c r="H18" t="str">
        <f>VLOOKUP($A18,Cleaned!$A$2:$I$142,8,FALSE)</f>
        <v>Other</v>
      </c>
      <c r="I18" t="str">
        <f>VLOOKUP($A18,Cleaned!$A$2:$I$142,9,FALSE)</f>
        <v>user38@example.com</v>
      </c>
    </row>
    <row r="19" spans="1:9" x14ac:dyDescent="0.3">
      <c r="A19" t="s">
        <v>66</v>
      </c>
      <c r="B19" t="str">
        <f>VLOOKUP($A19,Cleaned!$A$2:$I$142,2,FALSE)</f>
        <v>Alice Brown</v>
      </c>
      <c r="C19" t="str">
        <f>VLOOKUP($A19,Cleaned!$A$2:$I$142,3,FALSE)</f>
        <v>Finance</v>
      </c>
      <c r="D19" t="str">
        <f>VLOOKUP($A19,Cleaned!$A$2:$I$142,4,FALSE)</f>
        <v>UK</v>
      </c>
      <c r="E19" s="4">
        <f>VLOOKUP($A19,Cleaned!$A$2:$I$142,5,FALSE)</f>
        <v>73602</v>
      </c>
      <c r="F19" s="5">
        <f>VLOOKUP($A19,Cleaned!$A$2:$I$142,6,FALSE)</f>
        <v>42134</v>
      </c>
      <c r="G19">
        <f>VLOOKUP($A19,Cleaned!$A$2:$I$142,7,FALSE)</f>
        <v>2</v>
      </c>
      <c r="H19" t="str">
        <f>VLOOKUP($A19,Cleaned!$A$2:$I$142,8,FALSE)</f>
        <v>Female</v>
      </c>
      <c r="I19" t="str">
        <f>VLOOKUP($A19,Cleaned!$A$2:$I$142,9,FALSE)</f>
        <v>user96@example.com</v>
      </c>
    </row>
    <row r="20" spans="1:9" x14ac:dyDescent="0.3">
      <c r="A20" t="s">
        <v>68</v>
      </c>
      <c r="B20" t="str">
        <f>VLOOKUP($A20,Cleaned!$A$2:$I$142,2,FALSE)</f>
        <v>Eve Adams</v>
      </c>
      <c r="C20" t="str">
        <f>VLOOKUP($A20,Cleaned!$A$2:$I$142,3,FALSE)</f>
        <v>Marketing</v>
      </c>
      <c r="D20" t="str">
        <f>VLOOKUP($A20,Cleaned!$A$2:$I$142,4,FALSE)</f>
        <v>India</v>
      </c>
      <c r="E20" s="4">
        <f>VLOOKUP($A20,Cleaned!$A$2:$I$142,5,FALSE)</f>
        <v>67531</v>
      </c>
      <c r="F20" s="5">
        <f>VLOOKUP($A20,Cleaned!$A$2:$I$142,6,FALSE)</f>
        <v>42141</v>
      </c>
      <c r="G20">
        <f>VLOOKUP($A20,Cleaned!$A$2:$I$142,7,FALSE)</f>
        <v>5</v>
      </c>
      <c r="H20" t="str">
        <f>VLOOKUP($A20,Cleaned!$A$2:$I$142,8,FALSE)</f>
        <v>Female</v>
      </c>
      <c r="I20" t="str">
        <f>VLOOKUP($A20,Cleaned!$A$2:$I$142,9,FALSE)</f>
        <v>user151@example.com</v>
      </c>
    </row>
    <row r="21" spans="1:9" x14ac:dyDescent="0.3">
      <c r="A21" t="s">
        <v>70</v>
      </c>
      <c r="B21" t="str">
        <f>VLOOKUP($A21,Cleaned!$A$2:$I$142,2,FALSE)</f>
        <v>Jane Smith</v>
      </c>
      <c r="C21" t="str">
        <f>VLOOKUP($A21,Cleaned!$A$2:$I$142,3,FALSE)</f>
        <v>HR</v>
      </c>
      <c r="D21" t="str">
        <f>VLOOKUP($A21,Cleaned!$A$2:$I$142,4,FALSE)</f>
        <v>USA</v>
      </c>
      <c r="E21" s="4">
        <f>VLOOKUP($A21,Cleaned!$A$2:$I$142,5,FALSE)</f>
        <v>67834.565217391311</v>
      </c>
      <c r="F21" s="5">
        <f>VLOOKUP($A21,Cleaned!$A$2:$I$142,6,FALSE)</f>
        <v>42148</v>
      </c>
      <c r="G21">
        <f>VLOOKUP($A21,Cleaned!$A$2:$I$142,7,FALSE)</f>
        <v>2</v>
      </c>
      <c r="H21" t="str">
        <f>VLOOKUP($A21,Cleaned!$A$2:$I$142,8,FALSE)</f>
        <v>Other</v>
      </c>
      <c r="I21" t="str">
        <f>VLOOKUP($A21,Cleaned!$A$2:$I$142,9,FALSE)</f>
        <v>user200@example.com</v>
      </c>
    </row>
    <row r="22" spans="1:9" x14ac:dyDescent="0.3">
      <c r="A22" t="s">
        <v>72</v>
      </c>
      <c r="B22" t="str">
        <f>VLOOKUP($A22,Cleaned!$A$2:$I$142,2,FALSE)</f>
        <v>Jane Smith</v>
      </c>
      <c r="C22" t="str">
        <f>VLOOKUP($A22,Cleaned!$A$2:$I$142,3,FALSE)</f>
        <v>HR</v>
      </c>
      <c r="D22" t="str">
        <f>VLOOKUP($A22,Cleaned!$A$2:$I$142,4,FALSE)</f>
        <v>India</v>
      </c>
      <c r="E22" s="4">
        <f>VLOOKUP($A22,Cleaned!$A$2:$I$142,5,FALSE)</f>
        <v>98922</v>
      </c>
      <c r="F22" s="5">
        <f>VLOOKUP($A22,Cleaned!$A$2:$I$142,6,FALSE)</f>
        <v>42155</v>
      </c>
      <c r="G22">
        <f>VLOOKUP($A22,Cleaned!$A$2:$I$142,7,FALSE)</f>
        <v>4</v>
      </c>
      <c r="H22" t="str">
        <f>VLOOKUP($A22,Cleaned!$A$2:$I$142,8,FALSE)</f>
        <v>Female</v>
      </c>
      <c r="I22" t="str">
        <f>VLOOKUP($A22,Cleaned!$A$2:$I$142,9,FALSE)</f>
        <v>user77@example.com</v>
      </c>
    </row>
    <row r="23" spans="1:9" x14ac:dyDescent="0.3">
      <c r="A23" t="s">
        <v>74</v>
      </c>
      <c r="B23" t="str">
        <f>VLOOKUP($A23,Cleaned!$A$2:$I$142,2,FALSE)</f>
        <v>Eve Adams</v>
      </c>
      <c r="C23" t="str">
        <f>VLOOKUP($A23,Cleaned!$A$2:$I$142,3,FALSE)</f>
        <v>Finance</v>
      </c>
      <c r="D23" t="str">
        <f>VLOOKUP($A23,Cleaned!$A$2:$I$142,4,FALSE)</f>
        <v>India</v>
      </c>
      <c r="E23" s="4">
        <f>VLOOKUP($A23,Cleaned!$A$2:$I$142,5,FALSE)</f>
        <v>38333</v>
      </c>
      <c r="F23" s="5">
        <f>VLOOKUP($A23,Cleaned!$A$2:$I$142,6,FALSE)</f>
        <v>42162</v>
      </c>
      <c r="G23">
        <f>VLOOKUP($A23,Cleaned!$A$2:$I$142,7,FALSE)</f>
        <v>5</v>
      </c>
      <c r="H23" t="str">
        <f>VLOOKUP($A23,Cleaned!$A$2:$I$142,8,FALSE)</f>
        <v>Female</v>
      </c>
      <c r="I23" t="str">
        <f>VLOOKUP($A23,Cleaned!$A$2:$I$142,9,FALSE)</f>
        <v>user128@example.com</v>
      </c>
    </row>
    <row r="24" spans="1:9" x14ac:dyDescent="0.3">
      <c r="A24" t="s">
        <v>76</v>
      </c>
      <c r="B24" t="str">
        <f>VLOOKUP($A24,Cleaned!$A$2:$I$142,2,FALSE)</f>
        <v>Alice Brown</v>
      </c>
      <c r="C24" t="str">
        <f>VLOOKUP($A24,Cleaned!$A$2:$I$142,3,FALSE)</f>
        <v>Marketing</v>
      </c>
      <c r="D24" t="str">
        <f>VLOOKUP($A24,Cleaned!$A$2:$I$142,4,FALSE)</f>
        <v>UK</v>
      </c>
      <c r="E24" s="4">
        <f>VLOOKUP($A24,Cleaned!$A$2:$I$142,5,FALSE)</f>
        <v>36515</v>
      </c>
      <c r="F24" s="5">
        <f>VLOOKUP($A24,Cleaned!$A$2:$I$142,6,FALSE)</f>
        <v>42169</v>
      </c>
      <c r="G24">
        <f>VLOOKUP($A24,Cleaned!$A$2:$I$142,7,FALSE)</f>
        <v>3</v>
      </c>
      <c r="H24" t="str">
        <f>VLOOKUP($A24,Cleaned!$A$2:$I$142,8,FALSE)</f>
        <v>Male</v>
      </c>
      <c r="I24" t="str">
        <f>VLOOKUP($A24,Cleaned!$A$2:$I$142,9,FALSE)</f>
        <v>user149@example.com</v>
      </c>
    </row>
    <row r="25" spans="1:9" x14ac:dyDescent="0.3">
      <c r="A25" t="s">
        <v>78</v>
      </c>
      <c r="B25" t="str">
        <f>VLOOKUP($A25,Cleaned!$A$2:$I$142,2,FALSE)</f>
        <v>Sam Wilson</v>
      </c>
      <c r="C25" t="str">
        <f>VLOOKUP($A25,Cleaned!$A$2:$I$142,3,FALSE)</f>
        <v>Finance</v>
      </c>
      <c r="D25" t="str">
        <f>VLOOKUP($A25,Cleaned!$A$2:$I$142,4,FALSE)</f>
        <v>India</v>
      </c>
      <c r="E25" s="4">
        <f>VLOOKUP($A25,Cleaned!$A$2:$I$142,5,FALSE)</f>
        <v>91005</v>
      </c>
      <c r="F25" s="5">
        <f>VLOOKUP($A25,Cleaned!$A$2:$I$142,6,FALSE)</f>
        <v>42176</v>
      </c>
      <c r="G25">
        <f>VLOOKUP($A25,Cleaned!$A$2:$I$142,7,FALSE)</f>
        <v>1</v>
      </c>
      <c r="H25" t="str">
        <f>VLOOKUP($A25,Cleaned!$A$2:$I$142,8,FALSE)</f>
        <v>Other</v>
      </c>
      <c r="I25" t="str">
        <f>VLOOKUP($A25,Cleaned!$A$2:$I$142,9,FALSE)</f>
        <v>user122@example.com</v>
      </c>
    </row>
    <row r="26" spans="1:9" x14ac:dyDescent="0.3">
      <c r="A26" t="s">
        <v>80</v>
      </c>
      <c r="B26" t="str">
        <f>VLOOKUP($A26,Cleaned!$A$2:$I$142,2,FALSE)</f>
        <v>Chris Lee</v>
      </c>
      <c r="C26" t="str">
        <f>VLOOKUP($A26,Cleaned!$A$2:$I$142,3,FALSE)</f>
        <v>Marketing</v>
      </c>
      <c r="D26" t="str">
        <f>VLOOKUP($A26,Cleaned!$A$2:$I$142,4,FALSE)</f>
        <v>India</v>
      </c>
      <c r="E26" s="4">
        <f>VLOOKUP($A26,Cleaned!$A$2:$I$142,5,FALSE)</f>
        <v>52272</v>
      </c>
      <c r="F26" s="5">
        <f>VLOOKUP($A26,Cleaned!$A$2:$I$142,6,FALSE)</f>
        <v>42183</v>
      </c>
      <c r="G26">
        <f>VLOOKUP($A26,Cleaned!$A$2:$I$142,7,FALSE)</f>
        <v>3</v>
      </c>
      <c r="H26" t="str">
        <f>VLOOKUP($A26,Cleaned!$A$2:$I$142,8,FALSE)</f>
        <v>Female</v>
      </c>
      <c r="I26" t="str">
        <f>VLOOKUP($A26,Cleaned!$A$2:$I$142,9,FALSE)</f>
        <v>user41@example.com</v>
      </c>
    </row>
    <row r="27" spans="1:9" x14ac:dyDescent="0.3">
      <c r="A27" t="s">
        <v>82</v>
      </c>
      <c r="B27" t="str">
        <f>VLOOKUP($A27,Cleaned!$A$2:$I$142,2,FALSE)</f>
        <v>Eve Adams</v>
      </c>
      <c r="C27" t="str">
        <f>VLOOKUP($A27,Cleaned!$A$2:$I$142,3,FALSE)</f>
        <v>Sales</v>
      </c>
      <c r="D27" t="str">
        <f>VLOOKUP($A27,Cleaned!$A$2:$I$142,4,FALSE)</f>
        <v>Germany</v>
      </c>
      <c r="E27" s="4">
        <f>VLOOKUP($A27,Cleaned!$A$2:$I$142,5,FALSE)</f>
        <v>76518</v>
      </c>
      <c r="F27" s="5">
        <f>VLOOKUP($A27,Cleaned!$A$2:$I$142,6,FALSE)</f>
        <v>42190</v>
      </c>
      <c r="G27">
        <f>VLOOKUP($A27,Cleaned!$A$2:$I$142,7,FALSE)</f>
        <v>2</v>
      </c>
      <c r="H27" t="str">
        <f>VLOOKUP($A27,Cleaned!$A$2:$I$142,8,FALSE)</f>
        <v>Female</v>
      </c>
      <c r="I27" t="str">
        <f>VLOOKUP($A27,Cleaned!$A$2:$I$142,9,FALSE)</f>
        <v>user68@example.com</v>
      </c>
    </row>
    <row r="28" spans="1:9" x14ac:dyDescent="0.3">
      <c r="A28" t="s">
        <v>84</v>
      </c>
      <c r="B28" t="str">
        <f>VLOOKUP($A28,Cleaned!$A$2:$I$142,2,FALSE)</f>
        <v>Alice Brown</v>
      </c>
      <c r="C28" t="str">
        <f>VLOOKUP($A28,Cleaned!$A$2:$I$142,3,FALSE)</f>
        <v>IT</v>
      </c>
      <c r="D28" t="str">
        <f>VLOOKUP($A28,Cleaned!$A$2:$I$142,4,FALSE)</f>
        <v>UK</v>
      </c>
      <c r="E28" s="4">
        <f>VLOOKUP($A28,Cleaned!$A$2:$I$142,5,FALSE)</f>
        <v>41448</v>
      </c>
      <c r="F28" s="5">
        <f>VLOOKUP($A28,Cleaned!$A$2:$I$142,6,FALSE)</f>
        <v>42197</v>
      </c>
      <c r="G28">
        <f>VLOOKUP($A28,Cleaned!$A$2:$I$142,7,FALSE)</f>
        <v>3</v>
      </c>
      <c r="H28" t="str">
        <f>VLOOKUP($A28,Cleaned!$A$2:$I$142,8,FALSE)</f>
        <v>Other</v>
      </c>
      <c r="I28" t="str">
        <f>VLOOKUP($A28,Cleaned!$A$2:$I$142,9,FALSE)</f>
        <v>user103@example.com</v>
      </c>
    </row>
    <row r="29" spans="1:9" x14ac:dyDescent="0.3">
      <c r="A29" t="s">
        <v>86</v>
      </c>
      <c r="B29" t="str">
        <f>VLOOKUP($A29,Cleaned!$A$2:$I$142,2,FALSE)</f>
        <v>John Doe</v>
      </c>
      <c r="C29" t="str">
        <f>VLOOKUP($A29,Cleaned!$A$2:$I$142,3,FALSE)</f>
        <v>HR</v>
      </c>
      <c r="D29" t="str">
        <f>VLOOKUP($A29,Cleaned!$A$2:$I$142,4,FALSE)</f>
        <v>UK</v>
      </c>
      <c r="E29" s="4">
        <f>VLOOKUP($A29,Cleaned!$A$2:$I$142,5,FALSE)</f>
        <v>49282</v>
      </c>
      <c r="F29" s="5">
        <f>VLOOKUP($A29,Cleaned!$A$2:$I$142,6,FALSE)</f>
        <v>42204</v>
      </c>
      <c r="G29">
        <f>VLOOKUP($A29,Cleaned!$A$2:$I$142,7,FALSE)</f>
        <v>2</v>
      </c>
      <c r="H29" t="str">
        <f>VLOOKUP($A29,Cleaned!$A$2:$I$142,8,FALSE)</f>
        <v>Female</v>
      </c>
      <c r="I29" t="str">
        <f>VLOOKUP($A29,Cleaned!$A$2:$I$142,9,FALSE)</f>
        <v>user135@example.com</v>
      </c>
    </row>
    <row r="30" spans="1:9" x14ac:dyDescent="0.3">
      <c r="A30" t="s">
        <v>88</v>
      </c>
      <c r="B30" t="str">
        <f>VLOOKUP($A30,Cleaned!$A$2:$I$142,2,FALSE)</f>
        <v>Bob Johnson</v>
      </c>
      <c r="C30" t="str">
        <f>VLOOKUP($A30,Cleaned!$A$2:$I$142,3,FALSE)</f>
        <v>Marketing</v>
      </c>
      <c r="D30" t="str">
        <f>VLOOKUP($A30,Cleaned!$A$2:$I$142,4,FALSE)</f>
        <v>UK</v>
      </c>
      <c r="E30" s="4">
        <f>VLOOKUP($A30,Cleaned!$A$2:$I$142,5,FALSE)</f>
        <v>92959</v>
      </c>
      <c r="F30" s="5">
        <f>VLOOKUP($A30,Cleaned!$A$2:$I$142,6,FALSE)</f>
        <v>42211</v>
      </c>
      <c r="G30">
        <f>VLOOKUP($A30,Cleaned!$A$2:$I$142,7,FALSE)</f>
        <v>5</v>
      </c>
      <c r="H30" t="str">
        <f>VLOOKUP($A30,Cleaned!$A$2:$I$142,8,FALSE)</f>
        <v>Female</v>
      </c>
      <c r="I30" t="str">
        <f>VLOOKUP($A30,Cleaned!$A$2:$I$142,9,FALSE)</f>
        <v>user83@example.com</v>
      </c>
    </row>
    <row r="31" spans="1:9" x14ac:dyDescent="0.3">
      <c r="A31" t="s">
        <v>90</v>
      </c>
      <c r="B31" t="e">
        <f>VLOOKUP($A31,Cleaned!$A$2:$I$142,2,FALSE)</f>
        <v>#N/A</v>
      </c>
      <c r="C31" t="e">
        <f>VLOOKUP($A31,Cleaned!$A$2:$I$142,3,FALSE)</f>
        <v>#N/A</v>
      </c>
      <c r="D31" t="e">
        <f>VLOOKUP($A31,Cleaned!$A$2:$I$142,4,FALSE)</f>
        <v>#N/A</v>
      </c>
      <c r="E31" s="4" t="e">
        <f>VLOOKUP($A31,Cleaned!$A$2:$I$142,5,FALSE)</f>
        <v>#N/A</v>
      </c>
      <c r="F31" s="5" t="e">
        <f>VLOOKUP($A31,Cleaned!$A$2:$I$142,6,FALSE)</f>
        <v>#N/A</v>
      </c>
      <c r="G31" t="e">
        <f>VLOOKUP($A31,Cleaned!$A$2:$I$142,7,FALSE)</f>
        <v>#N/A</v>
      </c>
      <c r="H31" t="e">
        <f>VLOOKUP($A31,Cleaned!$A$2:$I$142,8,FALSE)</f>
        <v>#N/A</v>
      </c>
      <c r="I31" t="e">
        <f>VLOOKUP($A31,Cleaned!$A$2:$I$142,9,FALSE)</f>
        <v>#N/A</v>
      </c>
    </row>
    <row r="32" spans="1:9" x14ac:dyDescent="0.3">
      <c r="A32" t="s">
        <v>92</v>
      </c>
      <c r="B32" t="str">
        <f>VLOOKUP($A32,Cleaned!$A$2:$I$142,2,FALSE)</f>
        <v>Eve Adams</v>
      </c>
      <c r="C32" t="str">
        <f>VLOOKUP($A32,Cleaned!$A$2:$I$142,3,FALSE)</f>
        <v>HR</v>
      </c>
      <c r="D32" t="str">
        <f>VLOOKUP($A32,Cleaned!$A$2:$I$142,4,FALSE)</f>
        <v>Germany</v>
      </c>
      <c r="E32" s="4">
        <f>VLOOKUP($A32,Cleaned!$A$2:$I$142,5,FALSE)</f>
        <v>92299</v>
      </c>
      <c r="F32" s="5">
        <f>VLOOKUP($A32,Cleaned!$A$2:$I$142,6,FALSE)</f>
        <v>42225</v>
      </c>
      <c r="G32">
        <f>VLOOKUP($A32,Cleaned!$A$2:$I$142,7,FALSE)</f>
        <v>3</v>
      </c>
      <c r="H32" t="str">
        <f>VLOOKUP($A32,Cleaned!$A$2:$I$142,8,FALSE)</f>
        <v>Male</v>
      </c>
      <c r="I32" t="str">
        <f>VLOOKUP($A32,Cleaned!$A$2:$I$142,9,FALSE)</f>
        <v>user143@example.com</v>
      </c>
    </row>
    <row r="33" spans="1:9" x14ac:dyDescent="0.3">
      <c r="A33" t="s">
        <v>94</v>
      </c>
      <c r="B33" t="str">
        <f>VLOOKUP($A33,Cleaned!$A$2:$I$142,2,FALSE)</f>
        <v>Sam Wilson</v>
      </c>
      <c r="C33" t="str">
        <f>VLOOKUP($A33,Cleaned!$A$2:$I$142,3,FALSE)</f>
        <v>HR</v>
      </c>
      <c r="D33" t="str">
        <f>VLOOKUP($A33,Cleaned!$A$2:$I$142,4,FALSE)</f>
        <v>India</v>
      </c>
      <c r="E33" s="4">
        <f>VLOOKUP($A33,Cleaned!$A$2:$I$142,5,FALSE)</f>
        <v>95586</v>
      </c>
      <c r="F33" s="5">
        <f>VLOOKUP($A33,Cleaned!$A$2:$I$142,6,FALSE)</f>
        <v>42232</v>
      </c>
      <c r="G33">
        <f>VLOOKUP($A33,Cleaned!$A$2:$I$142,7,FALSE)</f>
        <v>3</v>
      </c>
      <c r="H33" t="str">
        <f>VLOOKUP($A33,Cleaned!$A$2:$I$142,8,FALSE)</f>
        <v>Other</v>
      </c>
      <c r="I33" t="str">
        <f>VLOOKUP($A33,Cleaned!$A$2:$I$142,9,FALSE)</f>
        <v>user190@example.com</v>
      </c>
    </row>
    <row r="34" spans="1:9" x14ac:dyDescent="0.3">
      <c r="A34" t="s">
        <v>96</v>
      </c>
      <c r="B34" t="str">
        <f>VLOOKUP($A34,Cleaned!$A$2:$I$142,2,FALSE)</f>
        <v>Chris Lee</v>
      </c>
      <c r="C34" t="str">
        <f>VLOOKUP($A34,Cleaned!$A$2:$I$142,3,FALSE)</f>
        <v>Marketing</v>
      </c>
      <c r="D34" t="str">
        <f>VLOOKUP($A34,Cleaned!$A$2:$I$142,4,FALSE)</f>
        <v>USA</v>
      </c>
      <c r="E34" s="4">
        <f>VLOOKUP($A34,Cleaned!$A$2:$I$142,5,FALSE)</f>
        <v>95367</v>
      </c>
      <c r="F34" s="5">
        <f>VLOOKUP($A34,Cleaned!$A$2:$I$142,6,FALSE)</f>
        <v>42239</v>
      </c>
      <c r="G34">
        <f>VLOOKUP($A34,Cleaned!$A$2:$I$142,7,FALSE)</f>
        <v>2</v>
      </c>
      <c r="H34" t="str">
        <f>VLOOKUP($A34,Cleaned!$A$2:$I$142,8,FALSE)</f>
        <v>Male</v>
      </c>
      <c r="I34" t="str">
        <f>VLOOKUP($A34,Cleaned!$A$2:$I$142,9,FALSE)</f>
        <v>user136@example.com</v>
      </c>
    </row>
    <row r="35" spans="1:9" x14ac:dyDescent="0.3">
      <c r="A35" t="s">
        <v>98</v>
      </c>
      <c r="B35" t="str">
        <f>VLOOKUP($A35,Cleaned!$A$2:$I$142,2,FALSE)</f>
        <v>John Doe</v>
      </c>
      <c r="C35" t="str">
        <f>VLOOKUP($A35,Cleaned!$A$2:$I$142,3,FALSE)</f>
        <v>Sales</v>
      </c>
      <c r="D35" t="str">
        <f>VLOOKUP($A35,Cleaned!$A$2:$I$142,4,FALSE)</f>
        <v>Australia</v>
      </c>
      <c r="E35" s="4">
        <f>VLOOKUP($A35,Cleaned!$A$2:$I$142,5,FALSE)</f>
        <v>79549</v>
      </c>
      <c r="F35" s="5">
        <f>VLOOKUP($A35,Cleaned!$A$2:$I$142,6,FALSE)</f>
        <v>42246</v>
      </c>
      <c r="G35">
        <f>VLOOKUP($A35,Cleaned!$A$2:$I$142,7,FALSE)</f>
        <v>3</v>
      </c>
      <c r="H35" t="str">
        <f>VLOOKUP($A35,Cleaned!$A$2:$I$142,8,FALSE)</f>
        <v>Female</v>
      </c>
      <c r="I35" t="str">
        <f>VLOOKUP($A35,Cleaned!$A$2:$I$142,9,FALSE)</f>
        <v>user198@example.com</v>
      </c>
    </row>
    <row r="36" spans="1:9" x14ac:dyDescent="0.3">
      <c r="A36" t="s">
        <v>100</v>
      </c>
      <c r="B36" t="str">
        <f>VLOOKUP($A36,Cleaned!$A$2:$I$142,2,FALSE)</f>
        <v>Alice Brown</v>
      </c>
      <c r="C36" t="str">
        <f>VLOOKUP($A36,Cleaned!$A$2:$I$142,3,FALSE)</f>
        <v>Marketing</v>
      </c>
      <c r="D36" t="str">
        <f>VLOOKUP($A36,Cleaned!$A$2:$I$142,4,FALSE)</f>
        <v>UK</v>
      </c>
      <c r="E36" s="4">
        <f>VLOOKUP($A36,Cleaned!$A$2:$I$142,5,FALSE)</f>
        <v>54463</v>
      </c>
      <c r="F36" s="5">
        <f>VLOOKUP($A36,Cleaned!$A$2:$I$142,6,FALSE)</f>
        <v>42253</v>
      </c>
      <c r="G36">
        <f>VLOOKUP($A36,Cleaned!$A$2:$I$142,7,FALSE)</f>
        <v>4</v>
      </c>
      <c r="H36" t="str">
        <f>VLOOKUP($A36,Cleaned!$A$2:$I$142,8,FALSE)</f>
        <v>Male</v>
      </c>
      <c r="I36" t="str">
        <f>VLOOKUP($A36,Cleaned!$A$2:$I$142,9,FALSE)</f>
        <v>invalid_email</v>
      </c>
    </row>
    <row r="37" spans="1:9" x14ac:dyDescent="0.3">
      <c r="A37" t="s">
        <v>101</v>
      </c>
      <c r="B37" t="str">
        <f>VLOOKUP($A37,Cleaned!$A$2:$I$142,2,FALSE)</f>
        <v>Alice Brown</v>
      </c>
      <c r="C37" t="str">
        <f>VLOOKUP($A37,Cleaned!$A$2:$I$142,3,FALSE)</f>
        <v>IT</v>
      </c>
      <c r="D37" t="str">
        <f>VLOOKUP($A37,Cleaned!$A$2:$I$142,4,FALSE)</f>
        <v>USA</v>
      </c>
      <c r="E37" s="4">
        <f>VLOOKUP($A37,Cleaned!$A$2:$I$142,5,FALSE)</f>
        <v>89781</v>
      </c>
      <c r="F37" s="5">
        <f>VLOOKUP($A37,Cleaned!$A$2:$I$142,6,FALSE)</f>
        <v>42260</v>
      </c>
      <c r="G37">
        <f>VLOOKUP($A37,Cleaned!$A$2:$I$142,7,FALSE)</f>
        <v>2</v>
      </c>
      <c r="H37" t="str">
        <f>VLOOKUP($A37,Cleaned!$A$2:$I$142,8,FALSE)</f>
        <v>Female</v>
      </c>
      <c r="I37" t="str">
        <f>VLOOKUP($A37,Cleaned!$A$2:$I$142,9,FALSE)</f>
        <v>user31@example.com</v>
      </c>
    </row>
    <row r="38" spans="1:9" x14ac:dyDescent="0.3">
      <c r="A38" t="s">
        <v>103</v>
      </c>
      <c r="B38" t="str">
        <f>VLOOKUP($A38,Cleaned!$A$2:$I$142,2,FALSE)</f>
        <v>Alice Brown</v>
      </c>
      <c r="C38" t="str">
        <f>VLOOKUP($A38,Cleaned!$A$2:$I$142,3,FALSE)</f>
        <v>HR</v>
      </c>
      <c r="D38" t="str">
        <f>VLOOKUP($A38,Cleaned!$A$2:$I$142,4,FALSE)</f>
        <v>India</v>
      </c>
      <c r="E38" s="4">
        <f>VLOOKUP($A38,Cleaned!$A$2:$I$142,5,FALSE)</f>
        <v>64796</v>
      </c>
      <c r="F38" s="5">
        <f>VLOOKUP($A38,Cleaned!$A$2:$I$142,6,FALSE)</f>
        <v>42267</v>
      </c>
      <c r="G38">
        <f>VLOOKUP($A38,Cleaned!$A$2:$I$142,7,FALSE)</f>
        <v>2</v>
      </c>
      <c r="H38" t="str">
        <f>VLOOKUP($A38,Cleaned!$A$2:$I$142,8,FALSE)</f>
        <v>Other</v>
      </c>
      <c r="I38" t="str">
        <f>VLOOKUP($A38,Cleaned!$A$2:$I$142,9,FALSE)</f>
        <v>user98@example.com</v>
      </c>
    </row>
    <row r="39" spans="1:9" x14ac:dyDescent="0.3">
      <c r="A39" t="s">
        <v>105</v>
      </c>
      <c r="B39" t="str">
        <f>VLOOKUP($A39,Cleaned!$A$2:$I$142,2,FALSE)</f>
        <v>John Doe</v>
      </c>
      <c r="C39" t="str">
        <f>VLOOKUP($A39,Cleaned!$A$2:$I$142,3,FALSE)</f>
        <v>Marketing</v>
      </c>
      <c r="D39" t="str">
        <f>VLOOKUP($A39,Cleaned!$A$2:$I$142,4,FALSE)</f>
        <v>UK</v>
      </c>
      <c r="E39" s="4">
        <f>VLOOKUP($A39,Cleaned!$A$2:$I$142,5,FALSE)</f>
        <v>52093</v>
      </c>
      <c r="F39" s="5">
        <f>VLOOKUP($A39,Cleaned!$A$2:$I$142,6,FALSE)</f>
        <v>42274</v>
      </c>
      <c r="G39">
        <f>VLOOKUP($A39,Cleaned!$A$2:$I$142,7,FALSE)</f>
        <v>5</v>
      </c>
      <c r="H39" t="str">
        <f>VLOOKUP($A39,Cleaned!$A$2:$I$142,8,FALSE)</f>
        <v>Female</v>
      </c>
      <c r="I39" t="str">
        <f>VLOOKUP($A39,Cleaned!$A$2:$I$142,9,FALSE)</f>
        <v>user154@example.com</v>
      </c>
    </row>
    <row r="40" spans="1:9" x14ac:dyDescent="0.3">
      <c r="A40" t="s">
        <v>107</v>
      </c>
      <c r="B40" t="str">
        <f>VLOOKUP($A40,Cleaned!$A$2:$I$142,2,FALSE)</f>
        <v>Chris Lee</v>
      </c>
      <c r="C40" t="str">
        <f>VLOOKUP($A40,Cleaned!$A$2:$I$142,3,FALSE)</f>
        <v>HR</v>
      </c>
      <c r="D40" t="str">
        <f>VLOOKUP($A40,Cleaned!$A$2:$I$142,4,FALSE)</f>
        <v>UK</v>
      </c>
      <c r="E40" s="4">
        <f>VLOOKUP($A40,Cleaned!$A$2:$I$142,5,FALSE)</f>
        <v>48224</v>
      </c>
      <c r="F40" s="5">
        <f>VLOOKUP($A40,Cleaned!$A$2:$I$142,6,FALSE)</f>
        <v>42281</v>
      </c>
      <c r="G40">
        <f>VLOOKUP($A40,Cleaned!$A$2:$I$142,7,FALSE)</f>
        <v>3</v>
      </c>
      <c r="H40" t="str">
        <f>VLOOKUP($A40,Cleaned!$A$2:$I$142,8,FALSE)</f>
        <v>Female</v>
      </c>
      <c r="I40" t="str">
        <f>VLOOKUP($A40,Cleaned!$A$2:$I$142,9,FALSE)</f>
        <v>user42@example.com</v>
      </c>
    </row>
    <row r="41" spans="1:9" x14ac:dyDescent="0.3">
      <c r="A41" t="s">
        <v>109</v>
      </c>
      <c r="B41" t="e">
        <f>VLOOKUP($A41,Cleaned!$A$2:$I$142,2,FALSE)</f>
        <v>#N/A</v>
      </c>
      <c r="C41" t="e">
        <f>VLOOKUP($A41,Cleaned!$A$2:$I$142,3,FALSE)</f>
        <v>#N/A</v>
      </c>
      <c r="D41" t="e">
        <f>VLOOKUP($A41,Cleaned!$A$2:$I$142,4,FALSE)</f>
        <v>#N/A</v>
      </c>
      <c r="E41" s="4" t="e">
        <f>VLOOKUP($A41,Cleaned!$A$2:$I$142,5,FALSE)</f>
        <v>#N/A</v>
      </c>
      <c r="F41" s="5" t="e">
        <f>VLOOKUP($A41,Cleaned!$A$2:$I$142,6,FALSE)</f>
        <v>#N/A</v>
      </c>
      <c r="G41" t="e">
        <f>VLOOKUP($A41,Cleaned!$A$2:$I$142,7,FALSE)</f>
        <v>#N/A</v>
      </c>
      <c r="H41" t="e">
        <f>VLOOKUP($A41,Cleaned!$A$2:$I$142,8,FALSE)</f>
        <v>#N/A</v>
      </c>
      <c r="I41" t="e">
        <f>VLOOKUP($A41,Cleaned!$A$2:$I$142,9,FALSE)</f>
        <v>#N/A</v>
      </c>
    </row>
    <row r="42" spans="1:9" x14ac:dyDescent="0.3">
      <c r="A42" t="s">
        <v>111</v>
      </c>
      <c r="B42" t="str">
        <f>VLOOKUP($A42,Cleaned!$A$2:$I$142,2,FALSE)</f>
        <v>Alice Brown</v>
      </c>
      <c r="C42" t="str">
        <f>VLOOKUP($A42,Cleaned!$A$2:$I$142,3,FALSE)</f>
        <v>IT</v>
      </c>
      <c r="D42" t="str">
        <f>VLOOKUP($A42,Cleaned!$A$2:$I$142,4,FALSE)</f>
        <v>Germany</v>
      </c>
      <c r="E42" s="4">
        <f>VLOOKUP($A42,Cleaned!$A$2:$I$142,5,FALSE)</f>
        <v>33956</v>
      </c>
      <c r="F42" s="5">
        <f>VLOOKUP($A42,Cleaned!$A$2:$I$142,6,FALSE)</f>
        <v>42295</v>
      </c>
      <c r="G42">
        <f>VLOOKUP($A42,Cleaned!$A$2:$I$142,7,FALSE)</f>
        <v>2</v>
      </c>
      <c r="H42" t="str">
        <f>VLOOKUP($A42,Cleaned!$A$2:$I$142,8,FALSE)</f>
        <v>Female</v>
      </c>
      <c r="I42" t="str">
        <f>VLOOKUP($A42,Cleaned!$A$2:$I$142,9,FALSE)</f>
        <v>user47@example.com</v>
      </c>
    </row>
    <row r="43" spans="1:9" x14ac:dyDescent="0.3">
      <c r="A43" t="s">
        <v>113</v>
      </c>
      <c r="B43" t="str">
        <f>VLOOKUP($A43,Cleaned!$A$2:$I$142,2,FALSE)</f>
        <v>Bob Johnson</v>
      </c>
      <c r="C43" t="str">
        <f>VLOOKUP($A43,Cleaned!$A$2:$I$142,3,FALSE)</f>
        <v>Marketing</v>
      </c>
      <c r="D43" t="str">
        <f>VLOOKUP($A43,Cleaned!$A$2:$I$142,4,FALSE)</f>
        <v>Australia</v>
      </c>
      <c r="E43" s="4">
        <f>VLOOKUP($A43,Cleaned!$A$2:$I$142,5,FALSE)</f>
        <v>64913</v>
      </c>
      <c r="F43" s="5">
        <f>VLOOKUP($A43,Cleaned!$A$2:$I$142,6,FALSE)</f>
        <v>42302</v>
      </c>
      <c r="G43">
        <f>VLOOKUP($A43,Cleaned!$A$2:$I$142,7,FALSE)</f>
        <v>1</v>
      </c>
      <c r="H43" t="str">
        <f>VLOOKUP($A43,Cleaned!$A$2:$I$142,8,FALSE)</f>
        <v>Female</v>
      </c>
      <c r="I43" t="str">
        <f>VLOOKUP($A43,Cleaned!$A$2:$I$142,9,FALSE)</f>
        <v>user175@example.com</v>
      </c>
    </row>
    <row r="44" spans="1:9" x14ac:dyDescent="0.3">
      <c r="A44" t="s">
        <v>115</v>
      </c>
      <c r="B44" t="str">
        <f>VLOOKUP($A44,Cleaned!$A$2:$I$142,2,FALSE)</f>
        <v>Alice Brown</v>
      </c>
      <c r="C44" t="str">
        <f>VLOOKUP($A44,Cleaned!$A$2:$I$142,3,FALSE)</f>
        <v>Marketing</v>
      </c>
      <c r="D44" t="str">
        <f>VLOOKUP($A44,Cleaned!$A$2:$I$142,4,FALSE)</f>
        <v>Australia</v>
      </c>
      <c r="E44" s="4">
        <f>VLOOKUP($A44,Cleaned!$A$2:$I$142,5,FALSE)</f>
        <v>35326</v>
      </c>
      <c r="F44" s="5">
        <f>VLOOKUP($A44,Cleaned!$A$2:$I$142,6,FALSE)</f>
        <v>42309</v>
      </c>
      <c r="G44">
        <f>VLOOKUP($A44,Cleaned!$A$2:$I$142,7,FALSE)</f>
        <v>2</v>
      </c>
      <c r="H44" t="str">
        <f>VLOOKUP($A44,Cleaned!$A$2:$I$142,8,FALSE)</f>
        <v>Female</v>
      </c>
      <c r="I44" t="str">
        <f>VLOOKUP($A44,Cleaned!$A$2:$I$142,9,FALSE)</f>
        <v>user57@example.com</v>
      </c>
    </row>
    <row r="45" spans="1:9" x14ac:dyDescent="0.3">
      <c r="A45" t="s">
        <v>117</v>
      </c>
      <c r="B45" t="str">
        <f>VLOOKUP($A45,Cleaned!$A$2:$I$142,2,FALSE)</f>
        <v>Chris Lee</v>
      </c>
      <c r="C45" t="str">
        <f>VLOOKUP($A45,Cleaned!$A$2:$I$142,3,FALSE)</f>
        <v>Finance</v>
      </c>
      <c r="D45" t="str">
        <f>VLOOKUP($A45,Cleaned!$A$2:$I$142,4,FALSE)</f>
        <v>India</v>
      </c>
      <c r="E45" s="4">
        <f>VLOOKUP($A45,Cleaned!$A$2:$I$142,5,FALSE)</f>
        <v>81610</v>
      </c>
      <c r="F45" s="5">
        <f>VLOOKUP($A45,Cleaned!$A$2:$I$142,6,FALSE)</f>
        <v>42316</v>
      </c>
      <c r="G45">
        <f>VLOOKUP($A45,Cleaned!$A$2:$I$142,7,FALSE)</f>
        <v>1</v>
      </c>
      <c r="H45" t="str">
        <f>VLOOKUP($A45,Cleaned!$A$2:$I$142,8,FALSE)</f>
        <v>Female</v>
      </c>
      <c r="I45" t="str">
        <f>VLOOKUP($A45,Cleaned!$A$2:$I$142,9,FALSE)</f>
        <v>user20@example.com</v>
      </c>
    </row>
    <row r="46" spans="1:9" x14ac:dyDescent="0.3">
      <c r="A46" t="s">
        <v>119</v>
      </c>
      <c r="B46" t="str">
        <f>VLOOKUP($A46,Cleaned!$A$2:$I$142,2,FALSE)</f>
        <v>Unknown</v>
      </c>
      <c r="C46" t="str">
        <f>VLOOKUP($A46,Cleaned!$A$2:$I$142,3,FALSE)</f>
        <v>HR</v>
      </c>
      <c r="D46" t="str">
        <f>VLOOKUP($A46,Cleaned!$A$2:$I$142,4,FALSE)</f>
        <v>India</v>
      </c>
      <c r="E46" s="4">
        <f>VLOOKUP($A46,Cleaned!$A$2:$I$142,5,FALSE)</f>
        <v>58962</v>
      </c>
      <c r="F46" s="5">
        <f>VLOOKUP($A46,Cleaned!$A$2:$I$142,6,FALSE)</f>
        <v>42323</v>
      </c>
      <c r="G46">
        <f>VLOOKUP($A46,Cleaned!$A$2:$I$142,7,FALSE)</f>
        <v>3</v>
      </c>
      <c r="H46" t="str">
        <f>VLOOKUP($A46,Cleaned!$A$2:$I$142,8,FALSE)</f>
        <v>Other</v>
      </c>
      <c r="I46" t="str">
        <f>VLOOKUP($A46,Cleaned!$A$2:$I$142,9,FALSE)</f>
        <v>user106@example.com</v>
      </c>
    </row>
    <row r="47" spans="1:9" x14ac:dyDescent="0.3">
      <c r="A47" t="s">
        <v>120</v>
      </c>
      <c r="B47" t="str">
        <f>VLOOKUP($A47,Cleaned!$A$2:$I$142,2,FALSE)</f>
        <v>Chris Lee</v>
      </c>
      <c r="C47" t="str">
        <f>VLOOKUP($A47,Cleaned!$A$2:$I$142,3,FALSE)</f>
        <v>IT</v>
      </c>
      <c r="D47" t="str">
        <f>VLOOKUP($A47,Cleaned!$A$2:$I$142,4,FALSE)</f>
        <v>Germany</v>
      </c>
      <c r="E47" s="4">
        <f>VLOOKUP($A47,Cleaned!$A$2:$I$142,5,FALSE)</f>
        <v>92701</v>
      </c>
      <c r="F47" s="5">
        <f>VLOOKUP($A47,Cleaned!$A$2:$I$142,6,FALSE)</f>
        <v>42330</v>
      </c>
      <c r="G47">
        <f>VLOOKUP($A47,Cleaned!$A$2:$I$142,7,FALSE)</f>
        <v>3</v>
      </c>
      <c r="H47" t="str">
        <f>VLOOKUP($A47,Cleaned!$A$2:$I$142,8,FALSE)</f>
        <v>Other</v>
      </c>
      <c r="I47" t="str">
        <f>VLOOKUP($A47,Cleaned!$A$2:$I$142,9,FALSE)</f>
        <v>user199@example.com</v>
      </c>
    </row>
    <row r="48" spans="1:9" x14ac:dyDescent="0.3">
      <c r="A48" t="s">
        <v>122</v>
      </c>
      <c r="B48" t="str">
        <f>VLOOKUP($A48,Cleaned!$A$2:$I$142,2,FALSE)</f>
        <v>Chris Lee</v>
      </c>
      <c r="C48" t="str">
        <f>VLOOKUP($A48,Cleaned!$A$2:$I$142,3,FALSE)</f>
        <v>HR</v>
      </c>
      <c r="D48" t="str">
        <f>VLOOKUP($A48,Cleaned!$A$2:$I$142,4,FALSE)</f>
        <v>India</v>
      </c>
      <c r="E48" s="4">
        <f>VLOOKUP($A48,Cleaned!$A$2:$I$142,5,FALSE)</f>
        <v>58245</v>
      </c>
      <c r="F48" s="5">
        <f>VLOOKUP($A48,Cleaned!$A$2:$I$142,6,FALSE)</f>
        <v>42337</v>
      </c>
      <c r="G48">
        <f>VLOOKUP($A48,Cleaned!$A$2:$I$142,7,FALSE)</f>
        <v>4</v>
      </c>
      <c r="H48" t="str">
        <f>VLOOKUP($A48,Cleaned!$A$2:$I$142,8,FALSE)</f>
        <v>Female</v>
      </c>
      <c r="I48" t="str">
        <f>VLOOKUP($A48,Cleaned!$A$2:$I$142,9,FALSE)</f>
        <v>user43@example.com</v>
      </c>
    </row>
    <row r="49" spans="1:9" x14ac:dyDescent="0.3">
      <c r="A49" t="s">
        <v>124</v>
      </c>
      <c r="B49" t="str">
        <f>VLOOKUP($A49,Cleaned!$A$2:$I$142,2,FALSE)</f>
        <v>John Doe</v>
      </c>
      <c r="C49" t="str">
        <f>VLOOKUP($A49,Cleaned!$A$2:$I$142,3,FALSE)</f>
        <v>Finance</v>
      </c>
      <c r="D49" t="str">
        <f>VLOOKUP($A49,Cleaned!$A$2:$I$142,4,FALSE)</f>
        <v>India</v>
      </c>
      <c r="E49" s="4">
        <f>VLOOKUP($A49,Cleaned!$A$2:$I$142,5,FALSE)</f>
        <v>66513</v>
      </c>
      <c r="F49" s="5">
        <f>VLOOKUP($A49,Cleaned!$A$2:$I$142,6,FALSE)</f>
        <v>42344</v>
      </c>
      <c r="G49">
        <f>VLOOKUP($A49,Cleaned!$A$2:$I$142,7,FALSE)</f>
        <v>2</v>
      </c>
      <c r="H49" t="str">
        <f>VLOOKUP($A49,Cleaned!$A$2:$I$142,8,FALSE)</f>
        <v>Other</v>
      </c>
      <c r="I49" t="str">
        <f>VLOOKUP($A49,Cleaned!$A$2:$I$142,9,FALSE)</f>
        <v>user24@example.com</v>
      </c>
    </row>
    <row r="50" spans="1:9" x14ac:dyDescent="0.3">
      <c r="A50" t="s">
        <v>125</v>
      </c>
      <c r="B50" t="str">
        <f>VLOOKUP($A50,Cleaned!$A$2:$I$142,2,FALSE)</f>
        <v>Eve Adams</v>
      </c>
      <c r="C50" t="str">
        <f>VLOOKUP($A50,Cleaned!$A$2:$I$142,3,FALSE)</f>
        <v>HR</v>
      </c>
      <c r="D50" t="str">
        <f>VLOOKUP($A50,Cleaned!$A$2:$I$142,4,FALSE)</f>
        <v>Germany</v>
      </c>
      <c r="E50" s="4">
        <f>VLOOKUP($A50,Cleaned!$A$2:$I$142,5,FALSE)</f>
        <v>78720</v>
      </c>
      <c r="F50" s="5">
        <f>VLOOKUP($A50,Cleaned!$A$2:$I$142,6,FALSE)</f>
        <v>42351</v>
      </c>
      <c r="G50">
        <f>VLOOKUP($A50,Cleaned!$A$2:$I$142,7,FALSE)</f>
        <v>5</v>
      </c>
      <c r="H50" t="str">
        <f>VLOOKUP($A50,Cleaned!$A$2:$I$142,8,FALSE)</f>
        <v>Female</v>
      </c>
      <c r="I50" t="str">
        <f>VLOOKUP($A50,Cleaned!$A$2:$I$142,9,FALSE)</f>
        <v>user89@example.com</v>
      </c>
    </row>
    <row r="51" spans="1:9" x14ac:dyDescent="0.3">
      <c r="A51" t="s">
        <v>126</v>
      </c>
      <c r="B51" t="e">
        <f>VLOOKUP($A51,Cleaned!$A$2:$I$142,2,FALSE)</f>
        <v>#N/A</v>
      </c>
      <c r="C51" t="e">
        <f>VLOOKUP($A51,Cleaned!$A$2:$I$142,3,FALSE)</f>
        <v>#N/A</v>
      </c>
      <c r="D51" t="e">
        <f>VLOOKUP($A51,Cleaned!$A$2:$I$142,4,FALSE)</f>
        <v>#N/A</v>
      </c>
      <c r="E51" s="4" t="e">
        <f>VLOOKUP($A51,Cleaned!$A$2:$I$142,5,FALSE)</f>
        <v>#N/A</v>
      </c>
      <c r="F51" s="5" t="e">
        <f>VLOOKUP($A51,Cleaned!$A$2:$I$142,6,FALSE)</f>
        <v>#N/A</v>
      </c>
      <c r="G51" t="e">
        <f>VLOOKUP($A51,Cleaned!$A$2:$I$142,7,FALSE)</f>
        <v>#N/A</v>
      </c>
      <c r="H51" t="e">
        <f>VLOOKUP($A51,Cleaned!$A$2:$I$142,8,FALSE)</f>
        <v>#N/A</v>
      </c>
      <c r="I51" t="e">
        <f>VLOOKUP($A51,Cleaned!$A$2:$I$142,9,FALSE)</f>
        <v>#N/A</v>
      </c>
    </row>
    <row r="52" spans="1:9" x14ac:dyDescent="0.3">
      <c r="A52" t="s">
        <v>128</v>
      </c>
      <c r="B52" t="str">
        <f>VLOOKUP($A52,Cleaned!$A$2:$I$142,2,FALSE)</f>
        <v>Sam Wilson</v>
      </c>
      <c r="C52" t="str">
        <f>VLOOKUP($A52,Cleaned!$A$2:$I$142,3,FALSE)</f>
        <v>Sales</v>
      </c>
      <c r="D52" t="str">
        <f>VLOOKUP($A52,Cleaned!$A$2:$I$142,4,FALSE)</f>
        <v>India</v>
      </c>
      <c r="E52" s="4">
        <f>VLOOKUP($A52,Cleaned!$A$2:$I$142,5,FALSE)</f>
        <v>39423</v>
      </c>
      <c r="F52" s="5">
        <f>VLOOKUP($A52,Cleaned!$A$2:$I$142,6,FALSE)</f>
        <v>42365</v>
      </c>
      <c r="G52">
        <f>VLOOKUP($A52,Cleaned!$A$2:$I$142,7,FALSE)</f>
        <v>5</v>
      </c>
      <c r="H52" t="str">
        <f>VLOOKUP($A52,Cleaned!$A$2:$I$142,8,FALSE)</f>
        <v>Female</v>
      </c>
      <c r="I52" t="str">
        <f>VLOOKUP($A52,Cleaned!$A$2:$I$142,9,FALSE)</f>
        <v>user59@example.com</v>
      </c>
    </row>
    <row r="53" spans="1:9" x14ac:dyDescent="0.3">
      <c r="A53" t="s">
        <v>130</v>
      </c>
      <c r="B53" t="str">
        <f>VLOOKUP($A53,Cleaned!$A$2:$I$142,2,FALSE)</f>
        <v>Eve Adams</v>
      </c>
      <c r="C53" t="str">
        <f>VLOOKUP($A53,Cleaned!$A$2:$I$142,3,FALSE)</f>
        <v>Marketing</v>
      </c>
      <c r="D53" t="str">
        <f>VLOOKUP($A53,Cleaned!$A$2:$I$142,4,FALSE)</f>
        <v>India</v>
      </c>
      <c r="E53" s="4">
        <f>VLOOKUP($A53,Cleaned!$A$2:$I$142,5,FALSE)</f>
        <v>30280</v>
      </c>
      <c r="F53" s="5">
        <f>VLOOKUP($A53,Cleaned!$A$2:$I$142,6,FALSE)</f>
        <v>42372</v>
      </c>
      <c r="G53">
        <f>VLOOKUP($A53,Cleaned!$A$2:$I$142,7,FALSE)</f>
        <v>1</v>
      </c>
      <c r="H53" t="str">
        <f>VLOOKUP($A53,Cleaned!$A$2:$I$142,8,FALSE)</f>
        <v>Female</v>
      </c>
      <c r="I53" t="str">
        <f>VLOOKUP($A53,Cleaned!$A$2:$I$142,9,FALSE)</f>
        <v>user152@example.com</v>
      </c>
    </row>
    <row r="54" spans="1:9" x14ac:dyDescent="0.3">
      <c r="A54" t="s">
        <v>132</v>
      </c>
      <c r="B54" t="str">
        <f>VLOOKUP($A54,Cleaned!$A$2:$I$142,2,FALSE)</f>
        <v>Eve Adams</v>
      </c>
      <c r="C54" t="str">
        <f>VLOOKUP($A54,Cleaned!$A$2:$I$142,3,FALSE)</f>
        <v>Finance</v>
      </c>
      <c r="D54" t="str">
        <f>VLOOKUP($A54,Cleaned!$A$2:$I$142,4,FALSE)</f>
        <v>UK</v>
      </c>
      <c r="E54" s="4">
        <f>VLOOKUP($A54,Cleaned!$A$2:$I$142,5,FALSE)</f>
        <v>33352</v>
      </c>
      <c r="F54" s="5">
        <f>VLOOKUP($A54,Cleaned!$A$2:$I$142,6,FALSE)</f>
        <v>42379</v>
      </c>
      <c r="G54">
        <f>VLOOKUP($A54,Cleaned!$A$2:$I$142,7,FALSE)</f>
        <v>3</v>
      </c>
      <c r="H54" t="str">
        <f>VLOOKUP($A54,Cleaned!$A$2:$I$142,8,FALSE)</f>
        <v>Female</v>
      </c>
      <c r="I54" t="str">
        <f>VLOOKUP($A54,Cleaned!$A$2:$I$142,9,FALSE)</f>
        <v>user200@example.com</v>
      </c>
    </row>
    <row r="55" spans="1:9" x14ac:dyDescent="0.3">
      <c r="A55" t="s">
        <v>133</v>
      </c>
      <c r="B55" t="str">
        <f>VLOOKUP($A55,Cleaned!$A$2:$I$142,2,FALSE)</f>
        <v>Bob Johnson</v>
      </c>
      <c r="C55" t="str">
        <f>VLOOKUP($A55,Cleaned!$A$2:$I$142,3,FALSE)</f>
        <v>Marketing</v>
      </c>
      <c r="D55" t="str">
        <f>VLOOKUP($A55,Cleaned!$A$2:$I$142,4,FALSE)</f>
        <v>UK</v>
      </c>
      <c r="E55" s="4">
        <f>VLOOKUP($A55,Cleaned!$A$2:$I$142,5,FALSE)</f>
        <v>75633</v>
      </c>
      <c r="F55" s="5">
        <f>VLOOKUP($A55,Cleaned!$A$2:$I$142,6,FALSE)</f>
        <v>42386</v>
      </c>
      <c r="G55">
        <f>VLOOKUP($A55,Cleaned!$A$2:$I$142,7,FALSE)</f>
        <v>5</v>
      </c>
      <c r="H55" t="str">
        <f>VLOOKUP($A55,Cleaned!$A$2:$I$142,8,FALSE)</f>
        <v>Other</v>
      </c>
      <c r="I55" t="str">
        <f>VLOOKUP($A55,Cleaned!$A$2:$I$142,9,FALSE)</f>
        <v>user92@example.com</v>
      </c>
    </row>
    <row r="56" spans="1:9" x14ac:dyDescent="0.3">
      <c r="A56" t="s">
        <v>135</v>
      </c>
      <c r="B56" t="str">
        <f>VLOOKUP($A56,Cleaned!$A$2:$I$142,2,FALSE)</f>
        <v>Chris Lee</v>
      </c>
      <c r="C56" t="str">
        <f>VLOOKUP($A56,Cleaned!$A$2:$I$142,3,FALSE)</f>
        <v>Marketing</v>
      </c>
      <c r="D56" t="str">
        <f>VLOOKUP($A56,Cleaned!$A$2:$I$142,4,FALSE)</f>
        <v>USA</v>
      </c>
      <c r="E56" s="4">
        <f>VLOOKUP($A56,Cleaned!$A$2:$I$142,5,FALSE)</f>
        <v>74815</v>
      </c>
      <c r="F56" s="5">
        <f>VLOOKUP($A56,Cleaned!$A$2:$I$142,6,FALSE)</f>
        <v>42393</v>
      </c>
      <c r="G56">
        <f>VLOOKUP($A56,Cleaned!$A$2:$I$142,7,FALSE)</f>
        <v>5</v>
      </c>
      <c r="H56" t="str">
        <f>VLOOKUP($A56,Cleaned!$A$2:$I$142,8,FALSE)</f>
        <v>Female</v>
      </c>
      <c r="I56" t="str">
        <f>VLOOKUP($A56,Cleaned!$A$2:$I$142,9,FALSE)</f>
        <v>user50@example.com</v>
      </c>
    </row>
    <row r="57" spans="1:9" x14ac:dyDescent="0.3">
      <c r="A57" t="s">
        <v>137</v>
      </c>
      <c r="B57" t="str">
        <f>VLOOKUP($A57,Cleaned!$A$2:$I$142,2,FALSE)</f>
        <v>John Doe</v>
      </c>
      <c r="C57" t="str">
        <f>VLOOKUP($A57,Cleaned!$A$2:$I$142,3,FALSE)</f>
        <v>Sales</v>
      </c>
      <c r="D57" t="str">
        <f>VLOOKUP($A57,Cleaned!$A$2:$I$142,4,FALSE)</f>
        <v>Australia</v>
      </c>
      <c r="E57" s="4">
        <f>VLOOKUP($A57,Cleaned!$A$2:$I$142,5,FALSE)</f>
        <v>60011</v>
      </c>
      <c r="F57" s="5">
        <f>VLOOKUP($A57,Cleaned!$A$2:$I$142,6,FALSE)</f>
        <v>42400</v>
      </c>
      <c r="G57">
        <f>VLOOKUP($A57,Cleaned!$A$2:$I$142,7,FALSE)</f>
        <v>1</v>
      </c>
      <c r="H57" t="str">
        <f>VLOOKUP($A57,Cleaned!$A$2:$I$142,8,FALSE)</f>
        <v>Male</v>
      </c>
      <c r="I57" t="str">
        <f>VLOOKUP($A57,Cleaned!$A$2:$I$142,9,FALSE)</f>
        <v>user63@example.com</v>
      </c>
    </row>
    <row r="58" spans="1:9" x14ac:dyDescent="0.3">
      <c r="A58" t="s">
        <v>139</v>
      </c>
      <c r="B58" t="str">
        <f>VLOOKUP($A58,Cleaned!$A$2:$I$142,2,FALSE)</f>
        <v>Eve Adams</v>
      </c>
      <c r="C58" t="str">
        <f>VLOOKUP($A58,Cleaned!$A$2:$I$142,3,FALSE)</f>
        <v>Marketing</v>
      </c>
      <c r="D58" t="str">
        <f>VLOOKUP($A58,Cleaned!$A$2:$I$142,4,FALSE)</f>
        <v>India</v>
      </c>
      <c r="E58" s="4">
        <f>VLOOKUP($A58,Cleaned!$A$2:$I$142,5,FALSE)</f>
        <v>96949</v>
      </c>
      <c r="F58" s="5">
        <f>VLOOKUP($A58,Cleaned!$A$2:$I$142,6,FALSE)</f>
        <v>42407</v>
      </c>
      <c r="G58">
        <f>VLOOKUP($A58,Cleaned!$A$2:$I$142,7,FALSE)</f>
        <v>3</v>
      </c>
      <c r="H58" t="str">
        <f>VLOOKUP($A58,Cleaned!$A$2:$I$142,8,FALSE)</f>
        <v>Female</v>
      </c>
      <c r="I58" t="str">
        <f>VLOOKUP($A58,Cleaned!$A$2:$I$142,9,FALSE)</f>
        <v>user103@example.com</v>
      </c>
    </row>
    <row r="59" spans="1:9" x14ac:dyDescent="0.3">
      <c r="A59" t="s">
        <v>140</v>
      </c>
      <c r="B59" t="str">
        <f>VLOOKUP($A59,Cleaned!$A$2:$I$142,2,FALSE)</f>
        <v>Sam Wilson</v>
      </c>
      <c r="C59" t="str">
        <f>VLOOKUP($A59,Cleaned!$A$2:$I$142,3,FALSE)</f>
        <v>Marketing</v>
      </c>
      <c r="D59" t="str">
        <f>VLOOKUP($A59,Cleaned!$A$2:$I$142,4,FALSE)</f>
        <v>India</v>
      </c>
      <c r="E59" s="4">
        <f>VLOOKUP($A59,Cleaned!$A$2:$I$142,5,FALSE)</f>
        <v>84924</v>
      </c>
      <c r="F59" s="5">
        <f>VLOOKUP($A59,Cleaned!$A$2:$I$142,6,FALSE)</f>
        <v>42414</v>
      </c>
      <c r="G59">
        <f>VLOOKUP($A59,Cleaned!$A$2:$I$142,7,FALSE)</f>
        <v>5</v>
      </c>
      <c r="H59" t="str">
        <f>VLOOKUP($A59,Cleaned!$A$2:$I$142,8,FALSE)</f>
        <v>Male</v>
      </c>
      <c r="I59" t="str">
        <f>VLOOKUP($A59,Cleaned!$A$2:$I$142,9,FALSE)</f>
        <v>user150@example.com</v>
      </c>
    </row>
    <row r="60" spans="1:9" x14ac:dyDescent="0.3">
      <c r="A60" t="s">
        <v>142</v>
      </c>
      <c r="B60" t="str">
        <f>VLOOKUP($A60,Cleaned!$A$2:$I$142,2,FALSE)</f>
        <v>Sam Wilson</v>
      </c>
      <c r="C60" t="str">
        <f>VLOOKUP($A60,Cleaned!$A$2:$I$142,3,FALSE)</f>
        <v>Finance</v>
      </c>
      <c r="D60" t="str">
        <f>VLOOKUP($A60,Cleaned!$A$2:$I$142,4,FALSE)</f>
        <v>USA</v>
      </c>
      <c r="E60" s="4">
        <f>VLOOKUP($A60,Cleaned!$A$2:$I$142,5,FALSE)</f>
        <v>82033</v>
      </c>
      <c r="F60" s="5">
        <f>VLOOKUP($A60,Cleaned!$A$2:$I$142,6,FALSE)</f>
        <v>42421</v>
      </c>
      <c r="G60">
        <f>VLOOKUP($A60,Cleaned!$A$2:$I$142,7,FALSE)</f>
        <v>1</v>
      </c>
      <c r="H60" t="str">
        <f>VLOOKUP($A60,Cleaned!$A$2:$I$142,8,FALSE)</f>
        <v>Female</v>
      </c>
      <c r="I60" t="str">
        <f>VLOOKUP($A60,Cleaned!$A$2:$I$142,9,FALSE)</f>
        <v>user20@example.com</v>
      </c>
    </row>
    <row r="61" spans="1:9" x14ac:dyDescent="0.3">
      <c r="A61" t="s">
        <v>143</v>
      </c>
      <c r="B61" t="e">
        <f>VLOOKUP($A61,Cleaned!$A$2:$I$142,2,FALSE)</f>
        <v>#N/A</v>
      </c>
      <c r="C61" t="e">
        <f>VLOOKUP($A61,Cleaned!$A$2:$I$142,3,FALSE)</f>
        <v>#N/A</v>
      </c>
      <c r="D61" t="e">
        <f>VLOOKUP($A61,Cleaned!$A$2:$I$142,4,FALSE)</f>
        <v>#N/A</v>
      </c>
      <c r="E61" s="4" t="e">
        <f>VLOOKUP($A61,Cleaned!$A$2:$I$142,5,FALSE)</f>
        <v>#N/A</v>
      </c>
      <c r="F61" s="5" t="e">
        <f>VLOOKUP($A61,Cleaned!$A$2:$I$142,6,FALSE)</f>
        <v>#N/A</v>
      </c>
      <c r="G61" t="e">
        <f>VLOOKUP($A61,Cleaned!$A$2:$I$142,7,FALSE)</f>
        <v>#N/A</v>
      </c>
      <c r="H61" t="e">
        <f>VLOOKUP($A61,Cleaned!$A$2:$I$142,8,FALSE)</f>
        <v>#N/A</v>
      </c>
      <c r="I61" t="e">
        <f>VLOOKUP($A61,Cleaned!$A$2:$I$142,9,FALSE)</f>
        <v>#N/A</v>
      </c>
    </row>
    <row r="62" spans="1:9" x14ac:dyDescent="0.3">
      <c r="A62" t="s">
        <v>145</v>
      </c>
      <c r="B62" t="str">
        <f>VLOOKUP($A62,Cleaned!$A$2:$I$142,2,FALSE)</f>
        <v>Eve Adams</v>
      </c>
      <c r="C62" t="str">
        <f>VLOOKUP($A62,Cleaned!$A$2:$I$142,3,FALSE)</f>
        <v>Marketing</v>
      </c>
      <c r="D62" t="str">
        <f>VLOOKUP($A62,Cleaned!$A$2:$I$142,4,FALSE)</f>
        <v>Australia</v>
      </c>
      <c r="E62" s="4">
        <f>VLOOKUP($A62,Cleaned!$A$2:$I$142,5,FALSE)</f>
        <v>31499</v>
      </c>
      <c r="F62" s="5">
        <f>VLOOKUP($A62,Cleaned!$A$2:$I$142,6,FALSE)</f>
        <v>42435</v>
      </c>
      <c r="G62">
        <f>VLOOKUP($A62,Cleaned!$A$2:$I$142,7,FALSE)</f>
        <v>2</v>
      </c>
      <c r="H62" t="str">
        <f>VLOOKUP($A62,Cleaned!$A$2:$I$142,8,FALSE)</f>
        <v>Female</v>
      </c>
      <c r="I62" t="str">
        <f>VLOOKUP($A62,Cleaned!$A$2:$I$142,9,FALSE)</f>
        <v>user31@example.com</v>
      </c>
    </row>
    <row r="63" spans="1:9" x14ac:dyDescent="0.3">
      <c r="A63" t="s">
        <v>146</v>
      </c>
      <c r="B63" t="str">
        <f>VLOOKUP($A63,Cleaned!$A$2:$I$142,2,FALSE)</f>
        <v>Chris Lee</v>
      </c>
      <c r="C63" t="str">
        <f>VLOOKUP($A63,Cleaned!$A$2:$I$142,3,FALSE)</f>
        <v>IT</v>
      </c>
      <c r="D63" t="str">
        <f>VLOOKUP($A63,Cleaned!$A$2:$I$142,4,FALSE)</f>
        <v>UK</v>
      </c>
      <c r="E63" s="4">
        <f>VLOOKUP($A63,Cleaned!$A$2:$I$142,5,FALSE)</f>
        <v>97981</v>
      </c>
      <c r="F63" s="5">
        <f>VLOOKUP($A63,Cleaned!$A$2:$I$142,6,FALSE)</f>
        <v>42442</v>
      </c>
      <c r="G63">
        <f>VLOOKUP($A63,Cleaned!$A$2:$I$142,7,FALSE)</f>
        <v>5</v>
      </c>
      <c r="H63" t="str">
        <f>VLOOKUP($A63,Cleaned!$A$2:$I$142,8,FALSE)</f>
        <v>Female</v>
      </c>
      <c r="I63" t="str">
        <f>VLOOKUP($A63,Cleaned!$A$2:$I$142,9,FALSE)</f>
        <v>user71@example.com</v>
      </c>
    </row>
    <row r="64" spans="1:9" x14ac:dyDescent="0.3">
      <c r="A64" t="s">
        <v>148</v>
      </c>
      <c r="B64" t="str">
        <f>VLOOKUP($A64,Cleaned!$A$2:$I$142,2,FALSE)</f>
        <v>Eve Adams</v>
      </c>
      <c r="C64" t="str">
        <f>VLOOKUP($A64,Cleaned!$A$2:$I$142,3,FALSE)</f>
        <v>HR</v>
      </c>
      <c r="D64" t="str">
        <f>VLOOKUP($A64,Cleaned!$A$2:$I$142,4,FALSE)</f>
        <v>USA</v>
      </c>
      <c r="E64" s="4">
        <f>VLOOKUP($A64,Cleaned!$A$2:$I$142,5,FALSE)</f>
        <v>36541</v>
      </c>
      <c r="F64" s="5">
        <f>VLOOKUP($A64,Cleaned!$A$2:$I$142,6,FALSE)</f>
        <v>42449</v>
      </c>
      <c r="G64">
        <f>VLOOKUP($A64,Cleaned!$A$2:$I$142,7,FALSE)</f>
        <v>2</v>
      </c>
      <c r="H64" t="str">
        <f>VLOOKUP($A64,Cleaned!$A$2:$I$142,8,FALSE)</f>
        <v>Other</v>
      </c>
      <c r="I64" t="str">
        <f>VLOOKUP($A64,Cleaned!$A$2:$I$142,9,FALSE)</f>
        <v>user97@example.com</v>
      </c>
    </row>
    <row r="65" spans="1:9" x14ac:dyDescent="0.3">
      <c r="A65" t="s">
        <v>150</v>
      </c>
      <c r="B65" t="str">
        <f>VLOOKUP($A65,Cleaned!$A$2:$I$142,2,FALSE)</f>
        <v>John Doe</v>
      </c>
      <c r="C65" t="str">
        <f>VLOOKUP($A65,Cleaned!$A$2:$I$142,3,FALSE)</f>
        <v>IT</v>
      </c>
      <c r="D65" t="str">
        <f>VLOOKUP($A65,Cleaned!$A$2:$I$142,4,FALSE)</f>
        <v>India</v>
      </c>
      <c r="E65" s="4">
        <f>VLOOKUP($A65,Cleaned!$A$2:$I$142,5,FALSE)</f>
        <v>84737</v>
      </c>
      <c r="F65" s="5">
        <f>VLOOKUP($A65,Cleaned!$A$2:$I$142,6,FALSE)</f>
        <v>42456</v>
      </c>
      <c r="G65">
        <f>VLOOKUP($A65,Cleaned!$A$2:$I$142,7,FALSE)</f>
        <v>1</v>
      </c>
      <c r="H65" t="str">
        <f>VLOOKUP($A65,Cleaned!$A$2:$I$142,8,FALSE)</f>
        <v>Male</v>
      </c>
      <c r="I65" t="str">
        <f>VLOOKUP($A65,Cleaned!$A$2:$I$142,9,FALSE)</f>
        <v>user141@example.com</v>
      </c>
    </row>
    <row r="66" spans="1:9" x14ac:dyDescent="0.3">
      <c r="A66" t="s">
        <v>152</v>
      </c>
      <c r="B66" t="str">
        <f>VLOOKUP($A66,Cleaned!$A$2:$I$142,2,FALSE)</f>
        <v>Sam Wilson</v>
      </c>
      <c r="C66" t="str">
        <f>VLOOKUP($A66,Cleaned!$A$2:$I$142,3,FALSE)</f>
        <v>Finance</v>
      </c>
      <c r="D66" t="str">
        <f>VLOOKUP($A66,Cleaned!$A$2:$I$142,4,FALSE)</f>
        <v>India</v>
      </c>
      <c r="E66" s="4">
        <f>VLOOKUP($A66,Cleaned!$A$2:$I$142,5,FALSE)</f>
        <v>33468</v>
      </c>
      <c r="F66" s="5">
        <f>VLOOKUP($A66,Cleaned!$A$2:$I$142,6,FALSE)</f>
        <v>42463</v>
      </c>
      <c r="G66">
        <f>VLOOKUP($A66,Cleaned!$A$2:$I$142,7,FALSE)</f>
        <v>4</v>
      </c>
      <c r="H66" t="str">
        <f>VLOOKUP($A66,Cleaned!$A$2:$I$142,8,FALSE)</f>
        <v>Male</v>
      </c>
      <c r="I66" t="str">
        <f>VLOOKUP($A66,Cleaned!$A$2:$I$142,9,FALSE)</f>
        <v>user125@example.com</v>
      </c>
    </row>
    <row r="67" spans="1:9" x14ac:dyDescent="0.3">
      <c r="A67" t="s">
        <v>154</v>
      </c>
      <c r="B67" t="str">
        <f>VLOOKUP($A67,Cleaned!$A$2:$I$142,2,FALSE)</f>
        <v>Sam Wilson</v>
      </c>
      <c r="C67" t="str">
        <f>VLOOKUP($A67,Cleaned!$A$2:$I$142,3,FALSE)</f>
        <v>Marketing</v>
      </c>
      <c r="D67" t="str">
        <f>VLOOKUP($A67,Cleaned!$A$2:$I$142,4,FALSE)</f>
        <v>Australia</v>
      </c>
      <c r="E67" s="4">
        <f>VLOOKUP($A67,Cleaned!$A$2:$I$142,5,FALSE)</f>
        <v>96365</v>
      </c>
      <c r="F67" s="5">
        <f>VLOOKUP($A67,Cleaned!$A$2:$I$142,6,FALSE)</f>
        <v>42470</v>
      </c>
      <c r="G67">
        <f>VLOOKUP($A67,Cleaned!$A$2:$I$142,7,FALSE)</f>
        <v>3</v>
      </c>
      <c r="H67" t="str">
        <f>VLOOKUP($A67,Cleaned!$A$2:$I$142,8,FALSE)</f>
        <v>Other</v>
      </c>
      <c r="I67" t="str">
        <f>VLOOKUP($A67,Cleaned!$A$2:$I$142,9,FALSE)</f>
        <v>user90@example.com</v>
      </c>
    </row>
    <row r="68" spans="1:9" x14ac:dyDescent="0.3">
      <c r="A68" t="s">
        <v>156</v>
      </c>
      <c r="B68" t="str">
        <f>VLOOKUP($A68,Cleaned!$A$2:$I$142,2,FALSE)</f>
        <v>Alice Brown</v>
      </c>
      <c r="C68" t="str">
        <f>VLOOKUP($A68,Cleaned!$A$2:$I$142,3,FALSE)</f>
        <v>Sales</v>
      </c>
      <c r="D68" t="str">
        <f>VLOOKUP($A68,Cleaned!$A$2:$I$142,4,FALSE)</f>
        <v>India</v>
      </c>
      <c r="E68" s="4">
        <f>VLOOKUP($A68,Cleaned!$A$2:$I$142,5,FALSE)</f>
        <v>61942</v>
      </c>
      <c r="F68" s="5">
        <f>VLOOKUP($A68,Cleaned!$A$2:$I$142,6,FALSE)</f>
        <v>42477</v>
      </c>
      <c r="G68">
        <f>VLOOKUP($A68,Cleaned!$A$2:$I$142,7,FALSE)</f>
        <v>3</v>
      </c>
      <c r="H68" t="str">
        <f>VLOOKUP($A68,Cleaned!$A$2:$I$142,8,FALSE)</f>
        <v>Female</v>
      </c>
      <c r="I68" t="str">
        <f>VLOOKUP($A68,Cleaned!$A$2:$I$142,9,FALSE)</f>
        <v>user192@example.com</v>
      </c>
    </row>
    <row r="69" spans="1:9" x14ac:dyDescent="0.3">
      <c r="A69" t="s">
        <v>158</v>
      </c>
      <c r="B69" t="str">
        <f>VLOOKUP($A69,Cleaned!$A$2:$I$142,2,FALSE)</f>
        <v>Sam Wilson</v>
      </c>
      <c r="C69" t="str">
        <f>VLOOKUP($A69,Cleaned!$A$2:$I$142,3,FALSE)</f>
        <v>Finance</v>
      </c>
      <c r="D69" t="str">
        <f>VLOOKUP($A69,Cleaned!$A$2:$I$142,4,FALSE)</f>
        <v>UK</v>
      </c>
      <c r="E69" s="4">
        <f>VLOOKUP($A69,Cleaned!$A$2:$I$142,5,FALSE)</f>
        <v>41467</v>
      </c>
      <c r="F69" s="5">
        <f>VLOOKUP($A69,Cleaned!$A$2:$I$142,6,FALSE)</f>
        <v>42484</v>
      </c>
      <c r="G69">
        <f>VLOOKUP($A69,Cleaned!$A$2:$I$142,7,FALSE)</f>
        <v>2</v>
      </c>
      <c r="H69" t="str">
        <f>VLOOKUP($A69,Cleaned!$A$2:$I$142,8,FALSE)</f>
        <v>Female</v>
      </c>
      <c r="I69" t="str">
        <f>VLOOKUP($A69,Cleaned!$A$2:$I$142,9,FALSE)</f>
        <v>user77@example.com</v>
      </c>
    </row>
    <row r="70" spans="1:9" x14ac:dyDescent="0.3">
      <c r="A70" t="s">
        <v>159</v>
      </c>
      <c r="B70" t="str">
        <f>VLOOKUP($A70,Cleaned!$A$2:$I$142,2,FALSE)</f>
        <v>Bob Johnson</v>
      </c>
      <c r="C70" t="str">
        <f>VLOOKUP($A70,Cleaned!$A$2:$I$142,3,FALSE)</f>
        <v>Finance</v>
      </c>
      <c r="D70" t="str">
        <f>VLOOKUP($A70,Cleaned!$A$2:$I$142,4,FALSE)</f>
        <v>India</v>
      </c>
      <c r="E70" s="4">
        <f>VLOOKUP($A70,Cleaned!$A$2:$I$142,5,FALSE)</f>
        <v>77096</v>
      </c>
      <c r="F70" s="5">
        <f>VLOOKUP($A70,Cleaned!$A$2:$I$142,6,FALSE)</f>
        <v>42491</v>
      </c>
      <c r="G70">
        <f>VLOOKUP($A70,Cleaned!$A$2:$I$142,7,FALSE)</f>
        <v>1</v>
      </c>
      <c r="H70" t="str">
        <f>VLOOKUP($A70,Cleaned!$A$2:$I$142,8,FALSE)</f>
        <v>Female</v>
      </c>
      <c r="I70" t="str">
        <f>VLOOKUP($A70,Cleaned!$A$2:$I$142,9,FALSE)</f>
        <v>user65@example.com</v>
      </c>
    </row>
    <row r="71" spans="1:9" x14ac:dyDescent="0.3">
      <c r="A71" t="s">
        <v>161</v>
      </c>
      <c r="B71" t="str">
        <f>VLOOKUP($A71,Cleaned!$A$2:$I$142,2,FALSE)</f>
        <v>Eve Adams</v>
      </c>
      <c r="C71" t="str">
        <f>VLOOKUP($A71,Cleaned!$A$2:$I$142,3,FALSE)</f>
        <v>Sales</v>
      </c>
      <c r="D71" t="str">
        <f>VLOOKUP($A71,Cleaned!$A$2:$I$142,4,FALSE)</f>
        <v>Australia</v>
      </c>
      <c r="E71" s="4">
        <f>VLOOKUP($A71,Cleaned!$A$2:$I$142,5,FALSE)</f>
        <v>69952</v>
      </c>
      <c r="F71" s="5">
        <f>VLOOKUP($A71,Cleaned!$A$2:$I$142,6,FALSE)</f>
        <v>42498</v>
      </c>
      <c r="G71">
        <f>VLOOKUP($A71,Cleaned!$A$2:$I$142,7,FALSE)</f>
        <v>5</v>
      </c>
      <c r="H71" t="str">
        <f>VLOOKUP($A71,Cleaned!$A$2:$I$142,8,FALSE)</f>
        <v>Female</v>
      </c>
      <c r="I71" t="str">
        <f>VLOOKUP($A71,Cleaned!$A$2:$I$142,9,FALSE)</f>
        <v>invalid_email</v>
      </c>
    </row>
    <row r="72" spans="1:9" x14ac:dyDescent="0.3">
      <c r="A72" t="s">
        <v>162</v>
      </c>
      <c r="B72" t="str">
        <f>VLOOKUP($A72,Cleaned!$A$2:$I$142,2,FALSE)</f>
        <v>Eve Adams</v>
      </c>
      <c r="C72" t="str">
        <f>VLOOKUP($A72,Cleaned!$A$2:$I$142,3,FALSE)</f>
        <v>Marketing</v>
      </c>
      <c r="D72" t="str">
        <f>VLOOKUP($A72,Cleaned!$A$2:$I$142,4,FALSE)</f>
        <v>USA</v>
      </c>
      <c r="E72" s="4">
        <f>VLOOKUP($A72,Cleaned!$A$2:$I$142,5,FALSE)</f>
        <v>85065</v>
      </c>
      <c r="F72" s="5">
        <f>VLOOKUP($A72,Cleaned!$A$2:$I$142,6,FALSE)</f>
        <v>42505</v>
      </c>
      <c r="G72">
        <f>VLOOKUP($A72,Cleaned!$A$2:$I$142,7,FALSE)</f>
        <v>3</v>
      </c>
      <c r="H72" t="str">
        <f>VLOOKUP($A72,Cleaned!$A$2:$I$142,8,FALSE)</f>
        <v>Female</v>
      </c>
      <c r="I72" t="str">
        <f>VLOOKUP($A72,Cleaned!$A$2:$I$142,9,FALSE)</f>
        <v>user142@example.com</v>
      </c>
    </row>
    <row r="73" spans="1:9" x14ac:dyDescent="0.3">
      <c r="A73" t="s">
        <v>164</v>
      </c>
      <c r="B73" t="str">
        <f>VLOOKUP($A73,Cleaned!$A$2:$I$142,2,FALSE)</f>
        <v>Bob Johnson</v>
      </c>
      <c r="C73" t="str">
        <f>VLOOKUP($A73,Cleaned!$A$2:$I$142,3,FALSE)</f>
        <v>Marketing</v>
      </c>
      <c r="D73" t="str">
        <f>VLOOKUP($A73,Cleaned!$A$2:$I$142,4,FALSE)</f>
        <v>India</v>
      </c>
      <c r="E73" s="4">
        <f>VLOOKUP($A73,Cleaned!$A$2:$I$142,5,FALSE)</f>
        <v>56512</v>
      </c>
      <c r="F73" s="5">
        <f>VLOOKUP($A73,Cleaned!$A$2:$I$142,6,FALSE)</f>
        <v>42512</v>
      </c>
      <c r="G73">
        <f>VLOOKUP($A73,Cleaned!$A$2:$I$142,7,FALSE)</f>
        <v>2</v>
      </c>
      <c r="H73" t="str">
        <f>VLOOKUP($A73,Cleaned!$A$2:$I$142,8,FALSE)</f>
        <v>Other</v>
      </c>
      <c r="I73" t="str">
        <f>VLOOKUP($A73,Cleaned!$A$2:$I$142,9,FALSE)</f>
        <v>user153@example.com</v>
      </c>
    </row>
    <row r="74" spans="1:9" x14ac:dyDescent="0.3">
      <c r="A74" t="s">
        <v>165</v>
      </c>
      <c r="B74" t="str">
        <f>VLOOKUP($A74,Cleaned!$A$2:$I$142,2,FALSE)</f>
        <v>John Doe</v>
      </c>
      <c r="C74" t="str">
        <f>VLOOKUP($A74,Cleaned!$A$2:$I$142,3,FALSE)</f>
        <v>Sales</v>
      </c>
      <c r="D74" t="str">
        <f>VLOOKUP($A74,Cleaned!$A$2:$I$142,4,FALSE)</f>
        <v>India</v>
      </c>
      <c r="E74" s="4">
        <f>VLOOKUP($A74,Cleaned!$A$2:$I$142,5,FALSE)</f>
        <v>91101</v>
      </c>
      <c r="F74" s="5">
        <f>VLOOKUP($A74,Cleaned!$A$2:$I$142,6,FALSE)</f>
        <v>42519</v>
      </c>
      <c r="G74">
        <f>VLOOKUP($A74,Cleaned!$A$2:$I$142,7,FALSE)</f>
        <v>4</v>
      </c>
      <c r="H74" t="str">
        <f>VLOOKUP($A74,Cleaned!$A$2:$I$142,8,FALSE)</f>
        <v>Female</v>
      </c>
      <c r="I74" t="str">
        <f>VLOOKUP($A74,Cleaned!$A$2:$I$142,9,FALSE)</f>
        <v>user71@example.com</v>
      </c>
    </row>
    <row r="75" spans="1:9" x14ac:dyDescent="0.3">
      <c r="A75" t="s">
        <v>166</v>
      </c>
      <c r="B75" t="str">
        <f>VLOOKUP($A75,Cleaned!$A$2:$I$142,2,FALSE)</f>
        <v>Sam Wilson</v>
      </c>
      <c r="C75" t="str">
        <f>VLOOKUP($A75,Cleaned!$A$2:$I$142,3,FALSE)</f>
        <v>Marketing</v>
      </c>
      <c r="D75" t="str">
        <f>VLOOKUP($A75,Cleaned!$A$2:$I$142,4,FALSE)</f>
        <v>Germany</v>
      </c>
      <c r="E75" s="4">
        <f>VLOOKUP($A75,Cleaned!$A$2:$I$142,5,FALSE)</f>
        <v>41243</v>
      </c>
      <c r="F75" s="5">
        <f>VLOOKUP($A75,Cleaned!$A$2:$I$142,6,FALSE)</f>
        <v>42526</v>
      </c>
      <c r="G75">
        <f>VLOOKUP($A75,Cleaned!$A$2:$I$142,7,FALSE)</f>
        <v>2</v>
      </c>
      <c r="H75" t="str">
        <f>VLOOKUP($A75,Cleaned!$A$2:$I$142,8,FALSE)</f>
        <v>Female</v>
      </c>
      <c r="I75" t="str">
        <f>VLOOKUP($A75,Cleaned!$A$2:$I$142,9,FALSE)</f>
        <v>user143@example.com</v>
      </c>
    </row>
    <row r="76" spans="1:9" x14ac:dyDescent="0.3">
      <c r="A76" t="s">
        <v>167</v>
      </c>
      <c r="B76" t="str">
        <f>VLOOKUP($A76,Cleaned!$A$2:$I$142,2,FALSE)</f>
        <v>Unknown</v>
      </c>
      <c r="C76" t="str">
        <f>VLOOKUP($A76,Cleaned!$A$2:$I$142,3,FALSE)</f>
        <v>Sales</v>
      </c>
      <c r="D76" t="str">
        <f>VLOOKUP($A76,Cleaned!$A$2:$I$142,4,FALSE)</f>
        <v>India</v>
      </c>
      <c r="E76" s="4">
        <f>VLOOKUP($A76,Cleaned!$A$2:$I$142,5,FALSE)</f>
        <v>96142</v>
      </c>
      <c r="F76" s="5">
        <f>VLOOKUP($A76,Cleaned!$A$2:$I$142,6,FALSE)</f>
        <v>42533</v>
      </c>
      <c r="G76">
        <f>VLOOKUP($A76,Cleaned!$A$2:$I$142,7,FALSE)</f>
        <v>1</v>
      </c>
      <c r="H76" t="str">
        <f>VLOOKUP($A76,Cleaned!$A$2:$I$142,8,FALSE)</f>
        <v>Other</v>
      </c>
      <c r="I76" t="str">
        <f>VLOOKUP($A76,Cleaned!$A$2:$I$142,9,FALSE)</f>
        <v>user17@example.com</v>
      </c>
    </row>
    <row r="77" spans="1:9" x14ac:dyDescent="0.3">
      <c r="A77" t="s">
        <v>169</v>
      </c>
      <c r="B77" t="str">
        <f>VLOOKUP($A77,Cleaned!$A$2:$I$142,2,FALSE)</f>
        <v>Eve Adams</v>
      </c>
      <c r="C77" t="str">
        <f>VLOOKUP($A77,Cleaned!$A$2:$I$142,3,FALSE)</f>
        <v>IT</v>
      </c>
      <c r="D77" t="str">
        <f>VLOOKUP($A77,Cleaned!$A$2:$I$142,4,FALSE)</f>
        <v>India</v>
      </c>
      <c r="E77" s="4">
        <f>VLOOKUP($A77,Cleaned!$A$2:$I$142,5,FALSE)</f>
        <v>94301</v>
      </c>
      <c r="F77" s="5">
        <f>VLOOKUP($A77,Cleaned!$A$2:$I$142,6,FALSE)</f>
        <v>42540</v>
      </c>
      <c r="G77">
        <f>VLOOKUP($A77,Cleaned!$A$2:$I$142,7,FALSE)</f>
        <v>1</v>
      </c>
      <c r="H77" t="str">
        <f>VLOOKUP($A77,Cleaned!$A$2:$I$142,8,FALSE)</f>
        <v>Male</v>
      </c>
      <c r="I77" t="str">
        <f>VLOOKUP($A77,Cleaned!$A$2:$I$142,9,FALSE)</f>
        <v>user20@example.com</v>
      </c>
    </row>
    <row r="78" spans="1:9" x14ac:dyDescent="0.3">
      <c r="A78" t="s">
        <v>170</v>
      </c>
      <c r="B78" t="str">
        <f>VLOOKUP($A78,Cleaned!$A$2:$I$142,2,FALSE)</f>
        <v>Jane Smith</v>
      </c>
      <c r="C78" t="str">
        <f>VLOOKUP($A78,Cleaned!$A$2:$I$142,3,FALSE)</f>
        <v>Marketing</v>
      </c>
      <c r="D78" t="str">
        <f>VLOOKUP($A78,Cleaned!$A$2:$I$142,4,FALSE)</f>
        <v>UK</v>
      </c>
      <c r="E78" s="4">
        <f>VLOOKUP($A78,Cleaned!$A$2:$I$142,5,FALSE)</f>
        <v>69166</v>
      </c>
      <c r="F78" s="5">
        <f>VLOOKUP($A78,Cleaned!$A$2:$I$142,6,FALSE)</f>
        <v>42547</v>
      </c>
      <c r="G78">
        <f>VLOOKUP($A78,Cleaned!$A$2:$I$142,7,FALSE)</f>
        <v>1</v>
      </c>
      <c r="H78" t="str">
        <f>VLOOKUP($A78,Cleaned!$A$2:$I$142,8,FALSE)</f>
        <v>Female</v>
      </c>
      <c r="I78" t="str">
        <f>VLOOKUP($A78,Cleaned!$A$2:$I$142,9,FALSE)</f>
        <v>user22@example.com</v>
      </c>
    </row>
    <row r="79" spans="1:9" x14ac:dyDescent="0.3">
      <c r="A79" t="s">
        <v>172</v>
      </c>
      <c r="B79" t="str">
        <f>VLOOKUP($A79,Cleaned!$A$2:$I$142,2,FALSE)</f>
        <v>Sam Wilson</v>
      </c>
      <c r="C79" t="str">
        <f>VLOOKUP($A79,Cleaned!$A$2:$I$142,3,FALSE)</f>
        <v>Marketing</v>
      </c>
      <c r="D79" t="str">
        <f>VLOOKUP($A79,Cleaned!$A$2:$I$142,4,FALSE)</f>
        <v>UK</v>
      </c>
      <c r="E79" s="4">
        <f>VLOOKUP($A79,Cleaned!$A$2:$I$142,5,FALSE)</f>
        <v>78245</v>
      </c>
      <c r="F79" s="5">
        <f>VLOOKUP($A79,Cleaned!$A$2:$I$142,6,FALSE)</f>
        <v>42554</v>
      </c>
      <c r="G79">
        <f>VLOOKUP($A79,Cleaned!$A$2:$I$142,7,FALSE)</f>
        <v>2</v>
      </c>
      <c r="H79" t="str">
        <f>VLOOKUP($A79,Cleaned!$A$2:$I$142,8,FALSE)</f>
        <v>Female</v>
      </c>
      <c r="I79" t="str">
        <f>VLOOKUP($A79,Cleaned!$A$2:$I$142,9,FALSE)</f>
        <v>user46@example.com</v>
      </c>
    </row>
    <row r="80" spans="1:9" x14ac:dyDescent="0.3">
      <c r="A80" t="s">
        <v>174</v>
      </c>
      <c r="B80" t="str">
        <f>VLOOKUP($A80,Cleaned!$A$2:$I$142,2,FALSE)</f>
        <v>Chris Lee</v>
      </c>
      <c r="C80" t="str">
        <f>VLOOKUP($A80,Cleaned!$A$2:$I$142,3,FALSE)</f>
        <v>Sales</v>
      </c>
      <c r="D80" t="str">
        <f>VLOOKUP($A80,Cleaned!$A$2:$I$142,4,FALSE)</f>
        <v>USA</v>
      </c>
      <c r="E80" s="4">
        <f>VLOOKUP($A80,Cleaned!$A$2:$I$142,5,FALSE)</f>
        <v>66079</v>
      </c>
      <c r="F80" s="5">
        <f>VLOOKUP($A80,Cleaned!$A$2:$I$142,6,FALSE)</f>
        <v>42561</v>
      </c>
      <c r="G80">
        <f>VLOOKUP($A80,Cleaned!$A$2:$I$142,7,FALSE)</f>
        <v>2</v>
      </c>
      <c r="H80" t="str">
        <f>VLOOKUP($A80,Cleaned!$A$2:$I$142,8,FALSE)</f>
        <v>Other</v>
      </c>
      <c r="I80" t="str">
        <f>VLOOKUP($A80,Cleaned!$A$2:$I$142,9,FALSE)</f>
        <v>user55@example.com</v>
      </c>
    </row>
    <row r="81" spans="1:9" x14ac:dyDescent="0.3">
      <c r="A81" t="s">
        <v>176</v>
      </c>
      <c r="B81" t="e">
        <f>VLOOKUP($A81,Cleaned!$A$2:$I$142,2,FALSE)</f>
        <v>#N/A</v>
      </c>
      <c r="C81" t="e">
        <f>VLOOKUP($A81,Cleaned!$A$2:$I$142,3,FALSE)</f>
        <v>#N/A</v>
      </c>
      <c r="D81" t="e">
        <f>VLOOKUP($A81,Cleaned!$A$2:$I$142,4,FALSE)</f>
        <v>#N/A</v>
      </c>
      <c r="E81" s="4" t="e">
        <f>VLOOKUP($A81,Cleaned!$A$2:$I$142,5,FALSE)</f>
        <v>#N/A</v>
      </c>
      <c r="F81" s="5" t="e">
        <f>VLOOKUP($A81,Cleaned!$A$2:$I$142,6,FALSE)</f>
        <v>#N/A</v>
      </c>
      <c r="G81" t="e">
        <f>VLOOKUP($A81,Cleaned!$A$2:$I$142,7,FALSE)</f>
        <v>#N/A</v>
      </c>
      <c r="H81" t="e">
        <f>VLOOKUP($A81,Cleaned!$A$2:$I$142,8,FALSE)</f>
        <v>#N/A</v>
      </c>
      <c r="I81" t="e">
        <f>VLOOKUP($A81,Cleaned!$A$2:$I$142,9,FALSE)</f>
        <v>#N/A</v>
      </c>
    </row>
    <row r="82" spans="1:9" x14ac:dyDescent="0.3">
      <c r="A82" t="s">
        <v>177</v>
      </c>
      <c r="B82" t="str">
        <f>VLOOKUP($A82,Cleaned!$A$2:$I$142,2,FALSE)</f>
        <v>Jane Smith</v>
      </c>
      <c r="C82" t="str">
        <f>VLOOKUP($A82,Cleaned!$A$2:$I$142,3,FALSE)</f>
        <v>Sales</v>
      </c>
      <c r="D82" t="str">
        <f>VLOOKUP($A82,Cleaned!$A$2:$I$142,4,FALSE)</f>
        <v>USA</v>
      </c>
      <c r="E82" s="4">
        <f>VLOOKUP($A82,Cleaned!$A$2:$I$142,5,FALSE)</f>
        <v>95621</v>
      </c>
      <c r="F82" s="5">
        <f>VLOOKUP($A82,Cleaned!$A$2:$I$142,6,FALSE)</f>
        <v>42575</v>
      </c>
      <c r="G82">
        <f>VLOOKUP($A82,Cleaned!$A$2:$I$142,7,FALSE)</f>
        <v>3</v>
      </c>
      <c r="H82" t="str">
        <f>VLOOKUP($A82,Cleaned!$A$2:$I$142,8,FALSE)</f>
        <v>Female</v>
      </c>
      <c r="I82" t="str">
        <f>VLOOKUP($A82,Cleaned!$A$2:$I$142,9,FALSE)</f>
        <v>user156@example.com</v>
      </c>
    </row>
    <row r="83" spans="1:9" x14ac:dyDescent="0.3">
      <c r="A83" t="s">
        <v>179</v>
      </c>
      <c r="B83" t="str">
        <f>VLOOKUP($A83,Cleaned!$A$2:$I$142,2,FALSE)</f>
        <v>Eve Adams</v>
      </c>
      <c r="C83" t="str">
        <f>VLOOKUP($A83,Cleaned!$A$2:$I$142,3,FALSE)</f>
        <v>IT</v>
      </c>
      <c r="D83" t="str">
        <f>VLOOKUP($A83,Cleaned!$A$2:$I$142,4,FALSE)</f>
        <v>UK</v>
      </c>
      <c r="E83" s="4">
        <f>VLOOKUP($A83,Cleaned!$A$2:$I$142,5,FALSE)</f>
        <v>42262</v>
      </c>
      <c r="F83" s="5">
        <f>VLOOKUP($A83,Cleaned!$A$2:$I$142,6,FALSE)</f>
        <v>42582</v>
      </c>
      <c r="G83">
        <f>VLOOKUP($A83,Cleaned!$A$2:$I$142,7,FALSE)</f>
        <v>1</v>
      </c>
      <c r="H83" t="str">
        <f>VLOOKUP($A83,Cleaned!$A$2:$I$142,8,FALSE)</f>
        <v>Female</v>
      </c>
      <c r="I83" t="str">
        <f>VLOOKUP($A83,Cleaned!$A$2:$I$142,9,FALSE)</f>
        <v>user104@example.com</v>
      </c>
    </row>
    <row r="84" spans="1:9" x14ac:dyDescent="0.3">
      <c r="A84" t="s">
        <v>181</v>
      </c>
      <c r="B84" t="str">
        <f>VLOOKUP($A84,Cleaned!$A$2:$I$142,2,FALSE)</f>
        <v>Sam Wilson</v>
      </c>
      <c r="C84" t="str">
        <f>VLOOKUP($A84,Cleaned!$A$2:$I$142,3,FALSE)</f>
        <v>Sales</v>
      </c>
      <c r="D84" t="str">
        <f>VLOOKUP($A84,Cleaned!$A$2:$I$142,4,FALSE)</f>
        <v>India</v>
      </c>
      <c r="E84" s="4">
        <f>VLOOKUP($A84,Cleaned!$A$2:$I$142,5,FALSE)</f>
        <v>99621</v>
      </c>
      <c r="F84" s="5">
        <f>VLOOKUP($A84,Cleaned!$A$2:$I$142,6,FALSE)</f>
        <v>42589</v>
      </c>
      <c r="G84">
        <f>VLOOKUP($A84,Cleaned!$A$2:$I$142,7,FALSE)</f>
        <v>2</v>
      </c>
      <c r="H84" t="str">
        <f>VLOOKUP($A84,Cleaned!$A$2:$I$142,8,FALSE)</f>
        <v>Other</v>
      </c>
      <c r="I84" t="str">
        <f>VLOOKUP($A84,Cleaned!$A$2:$I$142,9,FALSE)</f>
        <v>user145@example.com</v>
      </c>
    </row>
    <row r="85" spans="1:9" x14ac:dyDescent="0.3">
      <c r="A85" t="s">
        <v>183</v>
      </c>
      <c r="B85" t="str">
        <f>VLOOKUP($A85,Cleaned!$A$2:$I$142,2,FALSE)</f>
        <v>John Doe</v>
      </c>
      <c r="C85" t="str">
        <f>VLOOKUP($A85,Cleaned!$A$2:$I$142,3,FALSE)</f>
        <v>Marketing</v>
      </c>
      <c r="D85" t="str">
        <f>VLOOKUP($A85,Cleaned!$A$2:$I$142,4,FALSE)</f>
        <v>India</v>
      </c>
      <c r="E85" s="4">
        <f>VLOOKUP($A85,Cleaned!$A$2:$I$142,5,FALSE)</f>
        <v>44682</v>
      </c>
      <c r="F85" s="5">
        <f>VLOOKUP($A85,Cleaned!$A$2:$I$142,6,FALSE)</f>
        <v>42596</v>
      </c>
      <c r="G85">
        <f>VLOOKUP($A85,Cleaned!$A$2:$I$142,7,FALSE)</f>
        <v>4</v>
      </c>
      <c r="H85" t="str">
        <f>VLOOKUP($A85,Cleaned!$A$2:$I$142,8,FALSE)</f>
        <v>Female</v>
      </c>
      <c r="I85" t="str">
        <f>VLOOKUP($A85,Cleaned!$A$2:$I$142,9,FALSE)</f>
        <v>user47@example.com</v>
      </c>
    </row>
    <row r="86" spans="1:9" x14ac:dyDescent="0.3">
      <c r="A86" t="s">
        <v>184</v>
      </c>
      <c r="B86" t="str">
        <f>VLOOKUP($A86,Cleaned!$A$2:$I$142,2,FALSE)</f>
        <v>Chris Lee</v>
      </c>
      <c r="C86" t="str">
        <f>VLOOKUP($A86,Cleaned!$A$2:$I$142,3,FALSE)</f>
        <v>Finance</v>
      </c>
      <c r="D86" t="str">
        <f>VLOOKUP($A86,Cleaned!$A$2:$I$142,4,FALSE)</f>
        <v>India</v>
      </c>
      <c r="E86" s="4">
        <f>VLOOKUP($A86,Cleaned!$A$2:$I$142,5,FALSE)</f>
        <v>35163</v>
      </c>
      <c r="F86" s="5">
        <f>VLOOKUP($A86,Cleaned!$A$2:$I$142,6,FALSE)</f>
        <v>42603</v>
      </c>
      <c r="G86">
        <f>VLOOKUP($A86,Cleaned!$A$2:$I$142,7,FALSE)</f>
        <v>5</v>
      </c>
      <c r="H86" t="str">
        <f>VLOOKUP($A86,Cleaned!$A$2:$I$142,8,FALSE)</f>
        <v>Other</v>
      </c>
      <c r="I86" t="str">
        <f>VLOOKUP($A86,Cleaned!$A$2:$I$142,9,FALSE)</f>
        <v>user197@example.com</v>
      </c>
    </row>
    <row r="87" spans="1:9" x14ac:dyDescent="0.3">
      <c r="A87" t="s">
        <v>186</v>
      </c>
      <c r="B87" t="str">
        <f>VLOOKUP($A87,Cleaned!$A$2:$I$142,2,FALSE)</f>
        <v>Chris Lee</v>
      </c>
      <c r="C87" t="str">
        <f>VLOOKUP($A87,Cleaned!$A$2:$I$142,3,FALSE)</f>
        <v>IT</v>
      </c>
      <c r="D87" t="str">
        <f>VLOOKUP($A87,Cleaned!$A$2:$I$142,4,FALSE)</f>
        <v>India</v>
      </c>
      <c r="E87" s="4">
        <f>VLOOKUP($A87,Cleaned!$A$2:$I$142,5,FALSE)</f>
        <v>33483</v>
      </c>
      <c r="F87" s="5">
        <f>VLOOKUP($A87,Cleaned!$A$2:$I$142,6,FALSE)</f>
        <v>42610</v>
      </c>
      <c r="G87">
        <f>VLOOKUP($A87,Cleaned!$A$2:$I$142,7,FALSE)</f>
        <v>4</v>
      </c>
      <c r="H87" t="str">
        <f>VLOOKUP($A87,Cleaned!$A$2:$I$142,8,FALSE)</f>
        <v>Male</v>
      </c>
      <c r="I87" t="str">
        <f>VLOOKUP($A87,Cleaned!$A$2:$I$142,9,FALSE)</f>
        <v>user177@example.com</v>
      </c>
    </row>
    <row r="88" spans="1:9" x14ac:dyDescent="0.3">
      <c r="A88" t="s">
        <v>188</v>
      </c>
      <c r="B88" t="str">
        <f>VLOOKUP($A88,Cleaned!$A$2:$I$142,2,FALSE)</f>
        <v>Sam Wilson</v>
      </c>
      <c r="C88" t="str">
        <f>VLOOKUP($A88,Cleaned!$A$2:$I$142,3,FALSE)</f>
        <v>HR</v>
      </c>
      <c r="D88" t="str">
        <f>VLOOKUP($A88,Cleaned!$A$2:$I$142,4,FALSE)</f>
        <v>Germany</v>
      </c>
      <c r="E88" s="4">
        <f>VLOOKUP($A88,Cleaned!$A$2:$I$142,5,FALSE)</f>
        <v>55303</v>
      </c>
      <c r="F88" s="5">
        <f>VLOOKUP($A88,Cleaned!$A$2:$I$142,6,FALSE)</f>
        <v>42617</v>
      </c>
      <c r="G88">
        <f>VLOOKUP($A88,Cleaned!$A$2:$I$142,7,FALSE)</f>
        <v>4</v>
      </c>
      <c r="H88" t="str">
        <f>VLOOKUP($A88,Cleaned!$A$2:$I$142,8,FALSE)</f>
        <v>Male</v>
      </c>
      <c r="I88" t="str">
        <f>VLOOKUP($A88,Cleaned!$A$2:$I$142,9,FALSE)</f>
        <v>user149@example.com</v>
      </c>
    </row>
    <row r="89" spans="1:9" x14ac:dyDescent="0.3">
      <c r="A89" t="s">
        <v>189</v>
      </c>
      <c r="B89" t="str">
        <f>VLOOKUP($A89,Cleaned!$A$2:$I$142,2,FALSE)</f>
        <v>Chris Lee</v>
      </c>
      <c r="C89" t="str">
        <f>VLOOKUP($A89,Cleaned!$A$2:$I$142,3,FALSE)</f>
        <v>IT</v>
      </c>
      <c r="D89" t="str">
        <f>VLOOKUP($A89,Cleaned!$A$2:$I$142,4,FALSE)</f>
        <v>India</v>
      </c>
      <c r="E89" s="4">
        <f>VLOOKUP($A89,Cleaned!$A$2:$I$142,5,FALSE)</f>
        <v>63434</v>
      </c>
      <c r="F89" s="5">
        <f>VLOOKUP($A89,Cleaned!$A$2:$I$142,6,FALSE)</f>
        <v>42624</v>
      </c>
      <c r="G89">
        <f>VLOOKUP($A89,Cleaned!$A$2:$I$142,7,FALSE)</f>
        <v>3</v>
      </c>
      <c r="H89" t="str">
        <f>VLOOKUP($A89,Cleaned!$A$2:$I$142,8,FALSE)</f>
        <v>Female</v>
      </c>
      <c r="I89" t="str">
        <f>VLOOKUP($A89,Cleaned!$A$2:$I$142,9,FALSE)</f>
        <v>user48@example.com</v>
      </c>
    </row>
    <row r="90" spans="1:9" x14ac:dyDescent="0.3">
      <c r="A90" t="s">
        <v>191</v>
      </c>
      <c r="B90" t="str">
        <f>VLOOKUP($A90,Cleaned!$A$2:$I$142,2,FALSE)</f>
        <v>Jane Smith</v>
      </c>
      <c r="C90" t="str">
        <f>VLOOKUP($A90,Cleaned!$A$2:$I$142,3,FALSE)</f>
        <v>Marketing</v>
      </c>
      <c r="D90" t="str">
        <f>VLOOKUP($A90,Cleaned!$A$2:$I$142,4,FALSE)</f>
        <v>Australia</v>
      </c>
      <c r="E90" s="4">
        <f>VLOOKUP($A90,Cleaned!$A$2:$I$142,5,FALSE)</f>
        <v>38830</v>
      </c>
      <c r="F90" s="5">
        <f>VLOOKUP($A90,Cleaned!$A$2:$I$142,6,FALSE)</f>
        <v>42631</v>
      </c>
      <c r="G90">
        <f>VLOOKUP($A90,Cleaned!$A$2:$I$142,7,FALSE)</f>
        <v>3</v>
      </c>
      <c r="H90" t="str">
        <f>VLOOKUP($A90,Cleaned!$A$2:$I$142,8,FALSE)</f>
        <v>Other</v>
      </c>
      <c r="I90" t="str">
        <f>VLOOKUP($A90,Cleaned!$A$2:$I$142,9,FALSE)</f>
        <v>user149@example.com</v>
      </c>
    </row>
    <row r="91" spans="1:9" x14ac:dyDescent="0.3">
      <c r="A91" t="s">
        <v>192</v>
      </c>
      <c r="B91" t="str">
        <f>VLOOKUP($A91,Cleaned!$A$2:$I$142,2,FALSE)</f>
        <v>Unknown</v>
      </c>
      <c r="C91" t="str">
        <f>VLOOKUP($A91,Cleaned!$A$2:$I$142,3,FALSE)</f>
        <v>Marketing</v>
      </c>
      <c r="D91" t="str">
        <f>VLOOKUP($A91,Cleaned!$A$2:$I$142,4,FALSE)</f>
        <v>UK</v>
      </c>
      <c r="E91" s="4">
        <f>VLOOKUP($A91,Cleaned!$A$2:$I$142,5,FALSE)</f>
        <v>50741</v>
      </c>
      <c r="F91" s="5">
        <f>VLOOKUP($A91,Cleaned!$A$2:$I$142,6,FALSE)</f>
        <v>42638</v>
      </c>
      <c r="G91">
        <f>VLOOKUP($A91,Cleaned!$A$2:$I$142,7,FALSE)</f>
        <v>3</v>
      </c>
      <c r="H91" t="str">
        <f>VLOOKUP($A91,Cleaned!$A$2:$I$142,8,FALSE)</f>
        <v>Unknown</v>
      </c>
      <c r="I91" t="str">
        <f>VLOOKUP($A91,Cleaned!$A$2:$I$142,9,FALSE)</f>
        <v>user65@example.com</v>
      </c>
    </row>
    <row r="92" spans="1:9" x14ac:dyDescent="0.3">
      <c r="A92" t="s">
        <v>193</v>
      </c>
      <c r="B92" t="str">
        <f>VLOOKUP($A92,Cleaned!$A$2:$I$142,2,FALSE)</f>
        <v>Alice Brown</v>
      </c>
      <c r="C92" t="str">
        <f>VLOOKUP($A92,Cleaned!$A$2:$I$142,3,FALSE)</f>
        <v>HR</v>
      </c>
      <c r="D92" t="str">
        <f>VLOOKUP($A92,Cleaned!$A$2:$I$142,4,FALSE)</f>
        <v>Australia</v>
      </c>
      <c r="E92" s="4">
        <f>VLOOKUP($A92,Cleaned!$A$2:$I$142,5,FALSE)</f>
        <v>69420</v>
      </c>
      <c r="F92" s="5">
        <f>VLOOKUP($A92,Cleaned!$A$2:$I$142,6,FALSE)</f>
        <v>42645</v>
      </c>
      <c r="G92">
        <f>VLOOKUP($A92,Cleaned!$A$2:$I$142,7,FALSE)</f>
        <v>1</v>
      </c>
      <c r="H92" t="str">
        <f>VLOOKUP($A92,Cleaned!$A$2:$I$142,8,FALSE)</f>
        <v>Male</v>
      </c>
      <c r="I92" t="str">
        <f>VLOOKUP($A92,Cleaned!$A$2:$I$142,9,FALSE)</f>
        <v>user43@example.com</v>
      </c>
    </row>
    <row r="93" spans="1:9" x14ac:dyDescent="0.3">
      <c r="A93" t="s">
        <v>194</v>
      </c>
      <c r="B93" t="str">
        <f>VLOOKUP($A93,Cleaned!$A$2:$I$142,2,FALSE)</f>
        <v>Jane Smith</v>
      </c>
      <c r="C93" t="str">
        <f>VLOOKUP($A93,Cleaned!$A$2:$I$142,3,FALSE)</f>
        <v>IT</v>
      </c>
      <c r="D93" t="str">
        <f>VLOOKUP($A93,Cleaned!$A$2:$I$142,4,FALSE)</f>
        <v>India</v>
      </c>
      <c r="E93" s="4">
        <f>VLOOKUP($A93,Cleaned!$A$2:$I$142,5,FALSE)</f>
        <v>80588</v>
      </c>
      <c r="F93" s="5">
        <f>VLOOKUP($A93,Cleaned!$A$2:$I$142,6,FALSE)</f>
        <v>42652</v>
      </c>
      <c r="G93">
        <f>VLOOKUP($A93,Cleaned!$A$2:$I$142,7,FALSE)</f>
        <v>5</v>
      </c>
      <c r="H93" t="str">
        <f>VLOOKUP($A93,Cleaned!$A$2:$I$142,8,FALSE)</f>
        <v>Male</v>
      </c>
      <c r="I93" t="str">
        <f>VLOOKUP($A93,Cleaned!$A$2:$I$142,9,FALSE)</f>
        <v>user98@example.com</v>
      </c>
    </row>
    <row r="94" spans="1:9" x14ac:dyDescent="0.3">
      <c r="A94" t="s">
        <v>195</v>
      </c>
      <c r="B94" t="str">
        <f>VLOOKUP($A94,Cleaned!$A$2:$I$142,2,FALSE)</f>
        <v>Alice Brown</v>
      </c>
      <c r="C94" t="str">
        <f>VLOOKUP($A94,Cleaned!$A$2:$I$142,3,FALSE)</f>
        <v>Marketing</v>
      </c>
      <c r="D94" t="str">
        <f>VLOOKUP($A94,Cleaned!$A$2:$I$142,4,FALSE)</f>
        <v>USA</v>
      </c>
      <c r="E94" s="4">
        <f>VLOOKUP($A94,Cleaned!$A$2:$I$142,5,FALSE)</f>
        <v>76238</v>
      </c>
      <c r="F94" s="5">
        <f>VLOOKUP($A94,Cleaned!$A$2:$I$142,6,FALSE)</f>
        <v>42659</v>
      </c>
      <c r="G94">
        <f>VLOOKUP($A94,Cleaned!$A$2:$I$142,7,FALSE)</f>
        <v>4</v>
      </c>
      <c r="H94" t="str">
        <f>VLOOKUP($A94,Cleaned!$A$2:$I$142,8,FALSE)</f>
        <v>Male</v>
      </c>
      <c r="I94" t="str">
        <f>VLOOKUP($A94,Cleaned!$A$2:$I$142,9,FALSE)</f>
        <v>user102@example.com</v>
      </c>
    </row>
    <row r="95" spans="1:9" x14ac:dyDescent="0.3">
      <c r="A95" t="s">
        <v>197</v>
      </c>
      <c r="B95" t="str">
        <f>VLOOKUP($A95,Cleaned!$A$2:$I$142,2,FALSE)</f>
        <v>Bob Johnson</v>
      </c>
      <c r="C95" t="str">
        <f>VLOOKUP($A95,Cleaned!$A$2:$I$142,3,FALSE)</f>
        <v>IT</v>
      </c>
      <c r="D95" t="str">
        <f>VLOOKUP($A95,Cleaned!$A$2:$I$142,4,FALSE)</f>
        <v>India</v>
      </c>
      <c r="E95" s="4">
        <f>VLOOKUP($A95,Cleaned!$A$2:$I$142,5,FALSE)</f>
        <v>33264</v>
      </c>
      <c r="F95" s="5">
        <f>VLOOKUP($A95,Cleaned!$A$2:$I$142,6,FALSE)</f>
        <v>42666</v>
      </c>
      <c r="G95">
        <f>VLOOKUP($A95,Cleaned!$A$2:$I$142,7,FALSE)</f>
        <v>2</v>
      </c>
      <c r="H95" t="str">
        <f>VLOOKUP($A95,Cleaned!$A$2:$I$142,8,FALSE)</f>
        <v>Female</v>
      </c>
      <c r="I95" t="str">
        <f>VLOOKUP($A95,Cleaned!$A$2:$I$142,9,FALSE)</f>
        <v>user148@example.com</v>
      </c>
    </row>
    <row r="96" spans="1:9" x14ac:dyDescent="0.3">
      <c r="A96" t="s">
        <v>199</v>
      </c>
      <c r="B96" t="str">
        <f>VLOOKUP($A96,Cleaned!$A$2:$I$142,2,FALSE)</f>
        <v>Alice Brown</v>
      </c>
      <c r="C96" t="str">
        <f>VLOOKUP($A96,Cleaned!$A$2:$I$142,3,FALSE)</f>
        <v>Finance</v>
      </c>
      <c r="D96" t="str">
        <f>VLOOKUP($A96,Cleaned!$A$2:$I$142,4,FALSE)</f>
        <v>Australia</v>
      </c>
      <c r="E96" s="4">
        <f>VLOOKUP($A96,Cleaned!$A$2:$I$142,5,FALSE)</f>
        <v>96101</v>
      </c>
      <c r="F96" s="5">
        <f>VLOOKUP($A96,Cleaned!$A$2:$I$142,6,FALSE)</f>
        <v>42673</v>
      </c>
      <c r="G96">
        <f>VLOOKUP($A96,Cleaned!$A$2:$I$142,7,FALSE)</f>
        <v>2</v>
      </c>
      <c r="H96" t="str">
        <f>VLOOKUP($A96,Cleaned!$A$2:$I$142,8,FALSE)</f>
        <v>Other</v>
      </c>
      <c r="I96" t="str">
        <f>VLOOKUP($A96,Cleaned!$A$2:$I$142,9,FALSE)</f>
        <v>user155@example.com</v>
      </c>
    </row>
    <row r="97" spans="1:9" x14ac:dyDescent="0.3">
      <c r="A97" t="s">
        <v>201</v>
      </c>
      <c r="B97" t="str">
        <f>VLOOKUP($A97,Cleaned!$A$2:$I$142,2,FALSE)</f>
        <v>Jane Smith</v>
      </c>
      <c r="C97" t="str">
        <f>VLOOKUP($A97,Cleaned!$A$2:$I$142,3,FALSE)</f>
        <v>Finance</v>
      </c>
      <c r="D97" t="str">
        <f>VLOOKUP($A97,Cleaned!$A$2:$I$142,4,FALSE)</f>
        <v>USA</v>
      </c>
      <c r="E97" s="4">
        <f>VLOOKUP($A97,Cleaned!$A$2:$I$142,5,FALSE)</f>
        <v>72939</v>
      </c>
      <c r="F97" s="5">
        <f>VLOOKUP($A97,Cleaned!$A$2:$I$142,6,FALSE)</f>
        <v>42680</v>
      </c>
      <c r="G97">
        <f>VLOOKUP($A97,Cleaned!$A$2:$I$142,7,FALSE)</f>
        <v>3</v>
      </c>
      <c r="H97" t="str">
        <f>VLOOKUP($A97,Cleaned!$A$2:$I$142,8,FALSE)</f>
        <v>Female</v>
      </c>
      <c r="I97" t="str">
        <f>VLOOKUP($A97,Cleaned!$A$2:$I$142,9,FALSE)</f>
        <v>user191@example.com</v>
      </c>
    </row>
    <row r="98" spans="1:9" x14ac:dyDescent="0.3">
      <c r="A98" t="s">
        <v>203</v>
      </c>
      <c r="B98" t="str">
        <f>VLOOKUP($A98,Cleaned!$A$2:$I$142,2,FALSE)</f>
        <v>Sam Wilson</v>
      </c>
      <c r="C98" t="str">
        <f>VLOOKUP($A98,Cleaned!$A$2:$I$142,3,FALSE)</f>
        <v>HR</v>
      </c>
      <c r="D98" t="str">
        <f>VLOOKUP($A98,Cleaned!$A$2:$I$142,4,FALSE)</f>
        <v>Germany</v>
      </c>
      <c r="E98" s="4">
        <f>VLOOKUP($A98,Cleaned!$A$2:$I$142,5,FALSE)</f>
        <v>89333</v>
      </c>
      <c r="F98" s="5">
        <f>VLOOKUP($A98,Cleaned!$A$2:$I$142,6,FALSE)</f>
        <v>42687</v>
      </c>
      <c r="G98">
        <f>VLOOKUP($A98,Cleaned!$A$2:$I$142,7,FALSE)</f>
        <v>1</v>
      </c>
      <c r="H98" t="str">
        <f>VLOOKUP($A98,Cleaned!$A$2:$I$142,8,FALSE)</f>
        <v>Male</v>
      </c>
      <c r="I98" t="str">
        <f>VLOOKUP($A98,Cleaned!$A$2:$I$142,9,FALSE)</f>
        <v>user113@example.com</v>
      </c>
    </row>
    <row r="99" spans="1:9" x14ac:dyDescent="0.3">
      <c r="A99" t="s">
        <v>205</v>
      </c>
      <c r="B99" t="str">
        <f>VLOOKUP($A99,Cleaned!$A$2:$I$142,2,FALSE)</f>
        <v>Bob Johnson</v>
      </c>
      <c r="C99" t="str">
        <f>VLOOKUP($A99,Cleaned!$A$2:$I$142,3,FALSE)</f>
        <v>IT</v>
      </c>
      <c r="D99" t="str">
        <f>VLOOKUP($A99,Cleaned!$A$2:$I$142,4,FALSE)</f>
        <v>Australia</v>
      </c>
      <c r="E99" s="4">
        <f>VLOOKUP($A99,Cleaned!$A$2:$I$142,5,FALSE)</f>
        <v>70470</v>
      </c>
      <c r="F99" s="5">
        <f>VLOOKUP($A99,Cleaned!$A$2:$I$142,6,FALSE)</f>
        <v>42694</v>
      </c>
      <c r="G99">
        <f>VLOOKUP($A99,Cleaned!$A$2:$I$142,7,FALSE)</f>
        <v>2</v>
      </c>
      <c r="H99" t="str">
        <f>VLOOKUP($A99,Cleaned!$A$2:$I$142,8,FALSE)</f>
        <v>Male</v>
      </c>
      <c r="I99" t="str">
        <f>VLOOKUP($A99,Cleaned!$A$2:$I$142,9,FALSE)</f>
        <v>user62@example.com</v>
      </c>
    </row>
    <row r="100" spans="1:9" x14ac:dyDescent="0.3">
      <c r="A100" t="s">
        <v>207</v>
      </c>
      <c r="B100" t="str">
        <f>VLOOKUP($A100,Cleaned!$A$2:$I$142,2,FALSE)</f>
        <v>Eve Adams</v>
      </c>
      <c r="C100" t="str">
        <f>VLOOKUP($A100,Cleaned!$A$2:$I$142,3,FALSE)</f>
        <v>Marketing</v>
      </c>
      <c r="D100" t="str">
        <f>VLOOKUP($A100,Cleaned!$A$2:$I$142,4,FALSE)</f>
        <v>USA</v>
      </c>
      <c r="E100" s="4">
        <f>VLOOKUP($A100,Cleaned!$A$2:$I$142,5,FALSE)</f>
        <v>70096</v>
      </c>
      <c r="F100" s="5">
        <f>VLOOKUP($A100,Cleaned!$A$2:$I$142,6,FALSE)</f>
        <v>42701</v>
      </c>
      <c r="G100">
        <f>VLOOKUP($A100,Cleaned!$A$2:$I$142,7,FALSE)</f>
        <v>4</v>
      </c>
      <c r="H100" t="str">
        <f>VLOOKUP($A100,Cleaned!$A$2:$I$142,8,FALSE)</f>
        <v>Male</v>
      </c>
      <c r="I100" t="str">
        <f>VLOOKUP($A100,Cleaned!$A$2:$I$142,9,FALSE)</f>
        <v>user76@example.com</v>
      </c>
    </row>
    <row r="101" spans="1:9" x14ac:dyDescent="0.3">
      <c r="A101" t="s">
        <v>209</v>
      </c>
      <c r="B101" t="str">
        <f>VLOOKUP($A101,Cleaned!$A$2:$I$142,2,FALSE)</f>
        <v>Bob Johnson</v>
      </c>
      <c r="C101" t="str">
        <f>VLOOKUP($A101,Cleaned!$A$2:$I$142,3,FALSE)</f>
        <v>Marketing</v>
      </c>
      <c r="D101" t="str">
        <f>VLOOKUP($A101,Cleaned!$A$2:$I$142,4,FALSE)</f>
        <v>India</v>
      </c>
      <c r="E101" s="4">
        <f>VLOOKUP($A101,Cleaned!$A$2:$I$142,5,FALSE)</f>
        <v>65221.958333333336</v>
      </c>
      <c r="F101" s="5">
        <f>VLOOKUP($A101,Cleaned!$A$2:$I$142,6,FALSE)</f>
        <v>42708</v>
      </c>
      <c r="G101">
        <f>VLOOKUP($A101,Cleaned!$A$2:$I$142,7,FALSE)</f>
        <v>2</v>
      </c>
      <c r="H101" t="str">
        <f>VLOOKUP($A101,Cleaned!$A$2:$I$142,8,FALSE)</f>
        <v>Other</v>
      </c>
      <c r="I101" t="str">
        <f>VLOOKUP($A101,Cleaned!$A$2:$I$142,9,FALSE)</f>
        <v>user40@example.com</v>
      </c>
    </row>
    <row r="102" spans="1:9" x14ac:dyDescent="0.3">
      <c r="A102" t="s">
        <v>211</v>
      </c>
      <c r="B102" t="str">
        <f>VLOOKUP($A102,Cleaned!$A$2:$I$142,2,FALSE)</f>
        <v>Bob Johnson</v>
      </c>
      <c r="C102" t="str">
        <f>VLOOKUP($A102,Cleaned!$A$2:$I$142,3,FALSE)</f>
        <v>IT</v>
      </c>
      <c r="D102" t="str">
        <f>VLOOKUP($A102,Cleaned!$A$2:$I$142,4,FALSE)</f>
        <v>Germany</v>
      </c>
      <c r="E102" s="4">
        <f>VLOOKUP($A102,Cleaned!$A$2:$I$142,5,FALSE)</f>
        <v>66503</v>
      </c>
      <c r="F102" s="5">
        <f>VLOOKUP($A102,Cleaned!$A$2:$I$142,6,FALSE)</f>
        <v>42715</v>
      </c>
      <c r="G102">
        <f>VLOOKUP($A102,Cleaned!$A$2:$I$142,7,FALSE)</f>
        <v>2</v>
      </c>
      <c r="H102" t="str">
        <f>VLOOKUP($A102,Cleaned!$A$2:$I$142,8,FALSE)</f>
        <v>Male</v>
      </c>
      <c r="I102" t="str">
        <f>VLOOKUP($A102,Cleaned!$A$2:$I$142,9,FALSE)</f>
        <v>user200@example.com</v>
      </c>
    </row>
    <row r="103" spans="1:9" x14ac:dyDescent="0.3">
      <c r="A103" t="s">
        <v>212</v>
      </c>
      <c r="B103" t="str">
        <f>VLOOKUP($A103,Cleaned!$A$2:$I$142,2,FALSE)</f>
        <v>Alice Brown</v>
      </c>
      <c r="C103" t="str">
        <f>VLOOKUP($A103,Cleaned!$A$2:$I$142,3,FALSE)</f>
        <v>HR</v>
      </c>
      <c r="D103" t="str">
        <f>VLOOKUP($A103,Cleaned!$A$2:$I$142,4,FALSE)</f>
        <v>Germany</v>
      </c>
      <c r="E103" s="4">
        <f>VLOOKUP($A103,Cleaned!$A$2:$I$142,5,FALSE)</f>
        <v>42096</v>
      </c>
      <c r="F103" s="5">
        <f>VLOOKUP($A103,Cleaned!$A$2:$I$142,6,FALSE)</f>
        <v>42722</v>
      </c>
      <c r="G103">
        <f>VLOOKUP($A103,Cleaned!$A$2:$I$142,7,FALSE)</f>
        <v>2</v>
      </c>
      <c r="H103" t="str">
        <f>VLOOKUP($A103,Cleaned!$A$2:$I$142,8,FALSE)</f>
        <v>Female</v>
      </c>
      <c r="I103" t="str">
        <f>VLOOKUP($A103,Cleaned!$A$2:$I$142,9,FALSE)</f>
        <v>user54@example.com</v>
      </c>
    </row>
    <row r="104" spans="1:9" x14ac:dyDescent="0.3">
      <c r="A104" t="s">
        <v>214</v>
      </c>
      <c r="B104" t="str">
        <f>VLOOKUP($A104,Cleaned!$A$2:$I$142,2,FALSE)</f>
        <v>Alice Brown</v>
      </c>
      <c r="C104" t="str">
        <f>VLOOKUP($A104,Cleaned!$A$2:$I$142,3,FALSE)</f>
        <v>Marketing</v>
      </c>
      <c r="D104" t="str">
        <f>VLOOKUP($A104,Cleaned!$A$2:$I$142,4,FALSE)</f>
        <v>India</v>
      </c>
      <c r="E104" s="4">
        <f>VLOOKUP($A104,Cleaned!$A$2:$I$142,5,FALSE)</f>
        <v>79145</v>
      </c>
      <c r="F104" s="5">
        <f>VLOOKUP($A104,Cleaned!$A$2:$I$142,6,FALSE)</f>
        <v>42729</v>
      </c>
      <c r="G104">
        <f>VLOOKUP($A104,Cleaned!$A$2:$I$142,7,FALSE)</f>
        <v>5</v>
      </c>
      <c r="H104" t="str">
        <f>VLOOKUP($A104,Cleaned!$A$2:$I$142,8,FALSE)</f>
        <v>Other</v>
      </c>
      <c r="I104" t="str">
        <f>VLOOKUP($A104,Cleaned!$A$2:$I$142,9,FALSE)</f>
        <v>user20@example.com</v>
      </c>
    </row>
    <row r="105" spans="1:9" x14ac:dyDescent="0.3">
      <c r="A105" t="s">
        <v>215</v>
      </c>
      <c r="B105" t="str">
        <f>VLOOKUP($A105,Cleaned!$A$2:$I$142,2,FALSE)</f>
        <v>Jane Smith</v>
      </c>
      <c r="C105" t="str">
        <f>VLOOKUP($A105,Cleaned!$A$2:$I$142,3,FALSE)</f>
        <v>Marketing</v>
      </c>
      <c r="D105" t="str">
        <f>VLOOKUP($A105,Cleaned!$A$2:$I$142,4,FALSE)</f>
        <v>Australia</v>
      </c>
      <c r="E105" s="4">
        <f>VLOOKUP($A105,Cleaned!$A$2:$I$142,5,FALSE)</f>
        <v>61556</v>
      </c>
      <c r="F105" s="5">
        <f>VLOOKUP($A105,Cleaned!$A$2:$I$142,6,FALSE)</f>
        <v>42736</v>
      </c>
      <c r="G105">
        <f>VLOOKUP($A105,Cleaned!$A$2:$I$142,7,FALSE)</f>
        <v>1</v>
      </c>
      <c r="H105" t="str">
        <f>VLOOKUP($A105,Cleaned!$A$2:$I$142,8,FALSE)</f>
        <v>Female</v>
      </c>
      <c r="I105" t="str">
        <f>VLOOKUP($A105,Cleaned!$A$2:$I$142,9,FALSE)</f>
        <v>user40@example.com</v>
      </c>
    </row>
    <row r="106" spans="1:9" x14ac:dyDescent="0.3">
      <c r="A106" t="s">
        <v>216</v>
      </c>
      <c r="B106" t="str">
        <f>VLOOKUP($A106,Cleaned!$A$2:$I$142,2,FALSE)</f>
        <v>Unknown</v>
      </c>
      <c r="C106" t="str">
        <f>VLOOKUP($A106,Cleaned!$A$2:$I$142,3,FALSE)</f>
        <v>HR</v>
      </c>
      <c r="D106" t="str">
        <f>VLOOKUP($A106,Cleaned!$A$2:$I$142,4,FALSE)</f>
        <v>UK</v>
      </c>
      <c r="E106" s="4">
        <f>VLOOKUP($A106,Cleaned!$A$2:$I$142,5,FALSE)</f>
        <v>87963</v>
      </c>
      <c r="F106" s="5">
        <f>VLOOKUP($A106,Cleaned!$A$2:$I$142,6,FALSE)</f>
        <v>42743</v>
      </c>
      <c r="G106">
        <f>VLOOKUP($A106,Cleaned!$A$2:$I$142,7,FALSE)</f>
        <v>3</v>
      </c>
      <c r="H106" t="str">
        <f>VLOOKUP($A106,Cleaned!$A$2:$I$142,8,FALSE)</f>
        <v>Other</v>
      </c>
      <c r="I106" t="str">
        <f>VLOOKUP($A106,Cleaned!$A$2:$I$142,9,FALSE)</f>
        <v>invalid_email</v>
      </c>
    </row>
    <row r="107" spans="1:9" x14ac:dyDescent="0.3">
      <c r="A107" t="s">
        <v>217</v>
      </c>
      <c r="B107" t="str">
        <f>VLOOKUP($A107,Cleaned!$A$2:$I$142,2,FALSE)</f>
        <v>Eve Adams</v>
      </c>
      <c r="C107" t="str">
        <f>VLOOKUP($A107,Cleaned!$A$2:$I$142,3,FALSE)</f>
        <v>IT</v>
      </c>
      <c r="D107" t="str">
        <f>VLOOKUP($A107,Cleaned!$A$2:$I$142,4,FALSE)</f>
        <v>India</v>
      </c>
      <c r="E107" s="4">
        <f>VLOOKUP($A107,Cleaned!$A$2:$I$142,5,FALSE)</f>
        <v>48325</v>
      </c>
      <c r="F107" s="5">
        <f>VLOOKUP($A107,Cleaned!$A$2:$I$142,6,FALSE)</f>
        <v>42750</v>
      </c>
      <c r="G107">
        <f>VLOOKUP($A107,Cleaned!$A$2:$I$142,7,FALSE)</f>
        <v>2</v>
      </c>
      <c r="H107" t="str">
        <f>VLOOKUP($A107,Cleaned!$A$2:$I$142,8,FALSE)</f>
        <v>Male</v>
      </c>
      <c r="I107" t="str">
        <f>VLOOKUP($A107,Cleaned!$A$2:$I$142,9,FALSE)</f>
        <v>user189@example.com</v>
      </c>
    </row>
    <row r="108" spans="1:9" x14ac:dyDescent="0.3">
      <c r="A108" t="s">
        <v>219</v>
      </c>
      <c r="B108" t="str">
        <f>VLOOKUP($A108,Cleaned!$A$2:$I$142,2,FALSE)</f>
        <v>Sam Wilson</v>
      </c>
      <c r="C108" t="str">
        <f>VLOOKUP($A108,Cleaned!$A$2:$I$142,3,FALSE)</f>
        <v>Marketing</v>
      </c>
      <c r="D108" t="str">
        <f>VLOOKUP($A108,Cleaned!$A$2:$I$142,4,FALSE)</f>
        <v>Australia</v>
      </c>
      <c r="E108" s="4">
        <f>VLOOKUP($A108,Cleaned!$A$2:$I$142,5,FALSE)</f>
        <v>86412</v>
      </c>
      <c r="F108" s="5">
        <f>VLOOKUP($A108,Cleaned!$A$2:$I$142,6,FALSE)</f>
        <v>42757</v>
      </c>
      <c r="G108">
        <f>VLOOKUP($A108,Cleaned!$A$2:$I$142,7,FALSE)</f>
        <v>2</v>
      </c>
      <c r="H108" t="str">
        <f>VLOOKUP($A108,Cleaned!$A$2:$I$142,8,FALSE)</f>
        <v>Female</v>
      </c>
      <c r="I108" t="str">
        <f>VLOOKUP($A108,Cleaned!$A$2:$I$142,9,FALSE)</f>
        <v>user128@example.com</v>
      </c>
    </row>
    <row r="109" spans="1:9" x14ac:dyDescent="0.3">
      <c r="A109" t="s">
        <v>220</v>
      </c>
      <c r="B109" t="str">
        <f>VLOOKUP($A109,Cleaned!$A$2:$I$142,2,FALSE)</f>
        <v>Sam Wilson</v>
      </c>
      <c r="C109" t="str">
        <f>VLOOKUP($A109,Cleaned!$A$2:$I$142,3,FALSE)</f>
        <v>HR</v>
      </c>
      <c r="D109" t="str">
        <f>VLOOKUP($A109,Cleaned!$A$2:$I$142,4,FALSE)</f>
        <v>India</v>
      </c>
      <c r="E109" s="4">
        <f>VLOOKUP($A109,Cleaned!$A$2:$I$142,5,FALSE)</f>
        <v>66761</v>
      </c>
      <c r="F109" s="5">
        <f>VLOOKUP($A109,Cleaned!$A$2:$I$142,6,FALSE)</f>
        <v>42764</v>
      </c>
      <c r="G109">
        <f>VLOOKUP($A109,Cleaned!$A$2:$I$142,7,FALSE)</f>
        <v>1</v>
      </c>
      <c r="H109" t="str">
        <f>VLOOKUP($A109,Cleaned!$A$2:$I$142,8,FALSE)</f>
        <v>Female</v>
      </c>
      <c r="I109" t="str">
        <f>VLOOKUP($A109,Cleaned!$A$2:$I$142,9,FALSE)</f>
        <v>user93@example.com</v>
      </c>
    </row>
    <row r="110" spans="1:9" x14ac:dyDescent="0.3">
      <c r="A110" t="s">
        <v>222</v>
      </c>
      <c r="B110" t="str">
        <f>VLOOKUP($A110,Cleaned!$A$2:$I$142,2,FALSE)</f>
        <v>Jane Smith</v>
      </c>
      <c r="C110" t="str">
        <f>VLOOKUP($A110,Cleaned!$A$2:$I$142,3,FALSE)</f>
        <v>Marketing</v>
      </c>
      <c r="D110" t="str">
        <f>VLOOKUP($A110,Cleaned!$A$2:$I$142,4,FALSE)</f>
        <v>India</v>
      </c>
      <c r="E110" s="4">
        <f>VLOOKUP($A110,Cleaned!$A$2:$I$142,5,FALSE)</f>
        <v>88850</v>
      </c>
      <c r="F110" s="5">
        <f>VLOOKUP($A110,Cleaned!$A$2:$I$142,6,FALSE)</f>
        <v>42771</v>
      </c>
      <c r="G110">
        <f>VLOOKUP($A110,Cleaned!$A$2:$I$142,7,FALSE)</f>
        <v>1</v>
      </c>
      <c r="H110" t="str">
        <f>VLOOKUP($A110,Cleaned!$A$2:$I$142,8,FALSE)</f>
        <v>Female</v>
      </c>
      <c r="I110" t="str">
        <f>VLOOKUP($A110,Cleaned!$A$2:$I$142,9,FALSE)</f>
        <v>user174@example.com</v>
      </c>
    </row>
    <row r="111" spans="1:9" x14ac:dyDescent="0.3">
      <c r="A111" t="s">
        <v>224</v>
      </c>
      <c r="B111" t="e">
        <f>VLOOKUP($A111,Cleaned!$A$2:$I$142,2,FALSE)</f>
        <v>#N/A</v>
      </c>
      <c r="C111" t="e">
        <f>VLOOKUP($A111,Cleaned!$A$2:$I$142,3,FALSE)</f>
        <v>#N/A</v>
      </c>
      <c r="D111" t="e">
        <f>VLOOKUP($A111,Cleaned!$A$2:$I$142,4,FALSE)</f>
        <v>#N/A</v>
      </c>
      <c r="E111" s="4" t="e">
        <f>VLOOKUP($A111,Cleaned!$A$2:$I$142,5,FALSE)</f>
        <v>#N/A</v>
      </c>
      <c r="F111" s="5" t="e">
        <f>VLOOKUP($A111,Cleaned!$A$2:$I$142,6,FALSE)</f>
        <v>#N/A</v>
      </c>
      <c r="G111" t="e">
        <f>VLOOKUP($A111,Cleaned!$A$2:$I$142,7,FALSE)</f>
        <v>#N/A</v>
      </c>
      <c r="H111" t="e">
        <f>VLOOKUP($A111,Cleaned!$A$2:$I$142,8,FALSE)</f>
        <v>#N/A</v>
      </c>
      <c r="I111" t="e">
        <f>VLOOKUP($A111,Cleaned!$A$2:$I$142,9,FALSE)</f>
        <v>#N/A</v>
      </c>
    </row>
    <row r="112" spans="1:9" x14ac:dyDescent="0.3">
      <c r="A112" t="s">
        <v>226</v>
      </c>
      <c r="B112" t="str">
        <f>VLOOKUP($A112,Cleaned!$A$2:$I$142,2,FALSE)</f>
        <v>Chris Lee</v>
      </c>
      <c r="C112" t="str">
        <f>VLOOKUP($A112,Cleaned!$A$2:$I$142,3,FALSE)</f>
        <v>IT</v>
      </c>
      <c r="D112" t="str">
        <f>VLOOKUP($A112,Cleaned!$A$2:$I$142,4,FALSE)</f>
        <v>USA</v>
      </c>
      <c r="E112" s="4">
        <f>VLOOKUP($A112,Cleaned!$A$2:$I$142,5,FALSE)</f>
        <v>34306</v>
      </c>
      <c r="F112" s="5">
        <f>VLOOKUP($A112,Cleaned!$A$2:$I$142,6,FALSE)</f>
        <v>42785</v>
      </c>
      <c r="G112">
        <f>VLOOKUP($A112,Cleaned!$A$2:$I$142,7,FALSE)</f>
        <v>5</v>
      </c>
      <c r="H112" t="str">
        <f>VLOOKUP($A112,Cleaned!$A$2:$I$142,8,FALSE)</f>
        <v>Female</v>
      </c>
      <c r="I112" t="str">
        <f>VLOOKUP($A112,Cleaned!$A$2:$I$142,9,FALSE)</f>
        <v>user192@example.com</v>
      </c>
    </row>
    <row r="113" spans="1:9" x14ac:dyDescent="0.3">
      <c r="A113" t="s">
        <v>227</v>
      </c>
      <c r="B113" t="str">
        <f>VLOOKUP($A113,Cleaned!$A$2:$I$142,2,FALSE)</f>
        <v>Eve Adams</v>
      </c>
      <c r="C113" t="str">
        <f>VLOOKUP($A113,Cleaned!$A$2:$I$142,3,FALSE)</f>
        <v>Finance</v>
      </c>
      <c r="D113" t="str">
        <f>VLOOKUP($A113,Cleaned!$A$2:$I$142,4,FALSE)</f>
        <v>India</v>
      </c>
      <c r="E113" s="4">
        <f>VLOOKUP($A113,Cleaned!$A$2:$I$142,5,FALSE)</f>
        <v>78330</v>
      </c>
      <c r="F113" s="5">
        <f>VLOOKUP($A113,Cleaned!$A$2:$I$142,6,FALSE)</f>
        <v>42792</v>
      </c>
      <c r="G113">
        <f>VLOOKUP($A113,Cleaned!$A$2:$I$142,7,FALSE)</f>
        <v>2</v>
      </c>
      <c r="H113" t="str">
        <f>VLOOKUP($A113,Cleaned!$A$2:$I$142,8,FALSE)</f>
        <v>Other</v>
      </c>
      <c r="I113" t="str">
        <f>VLOOKUP($A113,Cleaned!$A$2:$I$142,9,FALSE)</f>
        <v>user76@example.com</v>
      </c>
    </row>
    <row r="114" spans="1:9" x14ac:dyDescent="0.3">
      <c r="A114" t="s">
        <v>228</v>
      </c>
      <c r="B114" t="str">
        <f>VLOOKUP($A114,Cleaned!$A$2:$I$142,2,FALSE)</f>
        <v>Alice Brown</v>
      </c>
      <c r="C114" t="str">
        <f>VLOOKUP($A114,Cleaned!$A$2:$I$142,3,FALSE)</f>
        <v>IT</v>
      </c>
      <c r="D114" t="str">
        <f>VLOOKUP($A114,Cleaned!$A$2:$I$142,4,FALSE)</f>
        <v>USA</v>
      </c>
      <c r="E114" s="4">
        <f>VLOOKUP($A114,Cleaned!$A$2:$I$142,5,FALSE)</f>
        <v>47653</v>
      </c>
      <c r="F114" s="5">
        <f>VLOOKUP($A114,Cleaned!$A$2:$I$142,6,FALSE)</f>
        <v>42799</v>
      </c>
      <c r="G114">
        <f>VLOOKUP($A114,Cleaned!$A$2:$I$142,7,FALSE)</f>
        <v>1</v>
      </c>
      <c r="H114" t="str">
        <f>VLOOKUP($A114,Cleaned!$A$2:$I$142,8,FALSE)</f>
        <v>Male</v>
      </c>
      <c r="I114" t="str">
        <f>VLOOKUP($A114,Cleaned!$A$2:$I$142,9,FALSE)</f>
        <v>user82@example.com</v>
      </c>
    </row>
    <row r="115" spans="1:9" x14ac:dyDescent="0.3">
      <c r="A115" t="s">
        <v>230</v>
      </c>
      <c r="B115" t="str">
        <f>VLOOKUP($A115,Cleaned!$A$2:$I$142,2,FALSE)</f>
        <v>Eve Adams</v>
      </c>
      <c r="C115" t="str">
        <f>VLOOKUP($A115,Cleaned!$A$2:$I$142,3,FALSE)</f>
        <v>Marketing</v>
      </c>
      <c r="D115" t="str">
        <f>VLOOKUP($A115,Cleaned!$A$2:$I$142,4,FALSE)</f>
        <v>UK</v>
      </c>
      <c r="E115" s="4">
        <f>VLOOKUP($A115,Cleaned!$A$2:$I$142,5,FALSE)</f>
        <v>44627</v>
      </c>
      <c r="F115" s="5">
        <f>VLOOKUP($A115,Cleaned!$A$2:$I$142,6,FALSE)</f>
        <v>42806</v>
      </c>
      <c r="G115">
        <f>VLOOKUP($A115,Cleaned!$A$2:$I$142,7,FALSE)</f>
        <v>4</v>
      </c>
      <c r="H115" t="str">
        <f>VLOOKUP($A115,Cleaned!$A$2:$I$142,8,FALSE)</f>
        <v>Female</v>
      </c>
      <c r="I115" t="str">
        <f>VLOOKUP($A115,Cleaned!$A$2:$I$142,9,FALSE)</f>
        <v>user97@example.com</v>
      </c>
    </row>
    <row r="116" spans="1:9" x14ac:dyDescent="0.3">
      <c r="A116" t="s">
        <v>231</v>
      </c>
      <c r="B116" t="str">
        <f>VLOOKUP($A116,Cleaned!$A$2:$I$142,2,FALSE)</f>
        <v>Bob Johnson</v>
      </c>
      <c r="C116" t="str">
        <f>VLOOKUP($A116,Cleaned!$A$2:$I$142,3,FALSE)</f>
        <v>HR</v>
      </c>
      <c r="D116" t="str">
        <f>VLOOKUP($A116,Cleaned!$A$2:$I$142,4,FALSE)</f>
        <v>Germany</v>
      </c>
      <c r="E116" s="4">
        <f>VLOOKUP($A116,Cleaned!$A$2:$I$142,5,FALSE)</f>
        <v>92343</v>
      </c>
      <c r="F116" s="5">
        <f>VLOOKUP($A116,Cleaned!$A$2:$I$142,6,FALSE)</f>
        <v>42813</v>
      </c>
      <c r="G116">
        <f>VLOOKUP($A116,Cleaned!$A$2:$I$142,7,FALSE)</f>
        <v>4</v>
      </c>
      <c r="H116" t="str">
        <f>VLOOKUP($A116,Cleaned!$A$2:$I$142,8,FALSE)</f>
        <v>Female</v>
      </c>
      <c r="I116" t="str">
        <f>VLOOKUP($A116,Cleaned!$A$2:$I$142,9,FALSE)</f>
        <v>user149@example.com</v>
      </c>
    </row>
    <row r="117" spans="1:9" x14ac:dyDescent="0.3">
      <c r="A117" t="s">
        <v>232</v>
      </c>
      <c r="B117" t="str">
        <f>VLOOKUP($A117,Cleaned!$A$2:$I$142,2,FALSE)</f>
        <v>Bob Johnson</v>
      </c>
      <c r="C117" t="str">
        <f>VLOOKUP($A117,Cleaned!$A$2:$I$142,3,FALSE)</f>
        <v>Marketing</v>
      </c>
      <c r="D117" t="str">
        <f>VLOOKUP($A117,Cleaned!$A$2:$I$142,4,FALSE)</f>
        <v>Australia</v>
      </c>
      <c r="E117" s="4">
        <f>VLOOKUP($A117,Cleaned!$A$2:$I$142,5,FALSE)</f>
        <v>38837</v>
      </c>
      <c r="F117" s="5">
        <f>VLOOKUP($A117,Cleaned!$A$2:$I$142,6,FALSE)</f>
        <v>42820</v>
      </c>
      <c r="G117">
        <f>VLOOKUP($A117,Cleaned!$A$2:$I$142,7,FALSE)</f>
        <v>5</v>
      </c>
      <c r="H117" t="str">
        <f>VLOOKUP($A117,Cleaned!$A$2:$I$142,8,FALSE)</f>
        <v>Female</v>
      </c>
      <c r="I117" t="str">
        <f>VLOOKUP($A117,Cleaned!$A$2:$I$142,9,FALSE)</f>
        <v>user192@example.com</v>
      </c>
    </row>
    <row r="118" spans="1:9" x14ac:dyDescent="0.3">
      <c r="A118" t="s">
        <v>233</v>
      </c>
      <c r="B118" t="str">
        <f>VLOOKUP($A118,Cleaned!$A$2:$I$142,2,FALSE)</f>
        <v>Bob Johnson</v>
      </c>
      <c r="C118" t="str">
        <f>VLOOKUP($A118,Cleaned!$A$2:$I$142,3,FALSE)</f>
        <v>Marketing</v>
      </c>
      <c r="D118" t="str">
        <f>VLOOKUP($A118,Cleaned!$A$2:$I$142,4,FALSE)</f>
        <v>India</v>
      </c>
      <c r="E118" s="4">
        <f>VLOOKUP($A118,Cleaned!$A$2:$I$142,5,FALSE)</f>
        <v>73483</v>
      </c>
      <c r="F118" s="5">
        <f>VLOOKUP($A118,Cleaned!$A$2:$I$142,6,FALSE)</f>
        <v>42827</v>
      </c>
      <c r="G118">
        <f>VLOOKUP($A118,Cleaned!$A$2:$I$142,7,FALSE)</f>
        <v>1</v>
      </c>
      <c r="H118" t="str">
        <f>VLOOKUP($A118,Cleaned!$A$2:$I$142,8,FALSE)</f>
        <v>Female</v>
      </c>
      <c r="I118" t="str">
        <f>VLOOKUP($A118,Cleaned!$A$2:$I$142,9,FALSE)</f>
        <v>user137@example.com</v>
      </c>
    </row>
    <row r="119" spans="1:9" x14ac:dyDescent="0.3">
      <c r="A119" t="s">
        <v>235</v>
      </c>
      <c r="B119" t="str">
        <f>VLOOKUP($A119,Cleaned!$A$2:$I$142,2,FALSE)</f>
        <v>Chris Lee</v>
      </c>
      <c r="C119" t="str">
        <f>VLOOKUP($A119,Cleaned!$A$2:$I$142,3,FALSE)</f>
        <v>Sales</v>
      </c>
      <c r="D119" t="str">
        <f>VLOOKUP($A119,Cleaned!$A$2:$I$142,4,FALSE)</f>
        <v>India</v>
      </c>
      <c r="E119" s="4">
        <f>VLOOKUP($A119,Cleaned!$A$2:$I$142,5,FALSE)</f>
        <v>95032</v>
      </c>
      <c r="F119" s="5">
        <f>VLOOKUP($A119,Cleaned!$A$2:$I$142,6,FALSE)</f>
        <v>42834</v>
      </c>
      <c r="G119">
        <f>VLOOKUP($A119,Cleaned!$A$2:$I$142,7,FALSE)</f>
        <v>3</v>
      </c>
      <c r="H119" t="str">
        <f>VLOOKUP($A119,Cleaned!$A$2:$I$142,8,FALSE)</f>
        <v>Female</v>
      </c>
      <c r="I119" t="str">
        <f>VLOOKUP($A119,Cleaned!$A$2:$I$142,9,FALSE)</f>
        <v>user23@example.com</v>
      </c>
    </row>
    <row r="120" spans="1:9" x14ac:dyDescent="0.3">
      <c r="A120" t="s">
        <v>237</v>
      </c>
      <c r="B120" t="str">
        <f>VLOOKUP($A120,Cleaned!$A$2:$I$142,2,FALSE)</f>
        <v>Eve Adams</v>
      </c>
      <c r="C120" t="str">
        <f>VLOOKUP($A120,Cleaned!$A$2:$I$142,3,FALSE)</f>
        <v>Sales</v>
      </c>
      <c r="D120" t="str">
        <f>VLOOKUP($A120,Cleaned!$A$2:$I$142,4,FALSE)</f>
        <v>Australia</v>
      </c>
      <c r="E120" s="4">
        <f>VLOOKUP($A120,Cleaned!$A$2:$I$142,5,FALSE)</f>
        <v>44358</v>
      </c>
      <c r="F120" s="5">
        <f>VLOOKUP($A120,Cleaned!$A$2:$I$142,6,FALSE)</f>
        <v>42841</v>
      </c>
      <c r="G120">
        <f>VLOOKUP($A120,Cleaned!$A$2:$I$142,7,FALSE)</f>
        <v>2</v>
      </c>
      <c r="H120" t="str">
        <f>VLOOKUP($A120,Cleaned!$A$2:$I$142,8,FALSE)</f>
        <v>Female</v>
      </c>
      <c r="I120" t="str">
        <f>VLOOKUP($A120,Cleaned!$A$2:$I$142,9,FALSE)</f>
        <v>user200@example.com</v>
      </c>
    </row>
    <row r="121" spans="1:9" x14ac:dyDescent="0.3">
      <c r="A121" t="s">
        <v>238</v>
      </c>
      <c r="B121" t="e">
        <f>VLOOKUP($A121,Cleaned!$A$2:$I$142,2,FALSE)</f>
        <v>#N/A</v>
      </c>
      <c r="C121" t="e">
        <f>VLOOKUP($A121,Cleaned!$A$2:$I$142,3,FALSE)</f>
        <v>#N/A</v>
      </c>
      <c r="D121" t="e">
        <f>VLOOKUP($A121,Cleaned!$A$2:$I$142,4,FALSE)</f>
        <v>#N/A</v>
      </c>
      <c r="E121" s="4" t="e">
        <f>VLOOKUP($A121,Cleaned!$A$2:$I$142,5,FALSE)</f>
        <v>#N/A</v>
      </c>
      <c r="F121" s="5" t="e">
        <f>VLOOKUP($A121,Cleaned!$A$2:$I$142,6,FALSE)</f>
        <v>#N/A</v>
      </c>
      <c r="G121" t="e">
        <f>VLOOKUP($A121,Cleaned!$A$2:$I$142,7,FALSE)</f>
        <v>#N/A</v>
      </c>
      <c r="H121" t="e">
        <f>VLOOKUP($A121,Cleaned!$A$2:$I$142,8,FALSE)</f>
        <v>#N/A</v>
      </c>
      <c r="I121" t="e">
        <f>VLOOKUP($A121,Cleaned!$A$2:$I$142,9,FALSE)</f>
        <v>#N/A</v>
      </c>
    </row>
    <row r="122" spans="1:9" x14ac:dyDescent="0.3">
      <c r="A122" t="s">
        <v>240</v>
      </c>
      <c r="B122" t="str">
        <f>VLOOKUP($A122,Cleaned!$A$2:$I$142,2,FALSE)</f>
        <v>Chris Lee</v>
      </c>
      <c r="C122" t="str">
        <f>VLOOKUP($A122,Cleaned!$A$2:$I$142,3,FALSE)</f>
        <v>Sales</v>
      </c>
      <c r="D122" t="str">
        <f>VLOOKUP($A122,Cleaned!$A$2:$I$142,4,FALSE)</f>
        <v>USA</v>
      </c>
      <c r="E122" s="4">
        <f>VLOOKUP($A122,Cleaned!$A$2:$I$142,5,FALSE)</f>
        <v>45676</v>
      </c>
      <c r="F122" s="5">
        <f>VLOOKUP($A122,Cleaned!$A$2:$I$142,6,FALSE)</f>
        <v>42855</v>
      </c>
      <c r="G122">
        <f>VLOOKUP($A122,Cleaned!$A$2:$I$142,7,FALSE)</f>
        <v>2</v>
      </c>
      <c r="H122" t="str">
        <f>VLOOKUP($A122,Cleaned!$A$2:$I$142,8,FALSE)</f>
        <v>Female</v>
      </c>
      <c r="I122" t="str">
        <f>VLOOKUP($A122,Cleaned!$A$2:$I$142,9,FALSE)</f>
        <v>user132@example.com</v>
      </c>
    </row>
    <row r="123" spans="1:9" x14ac:dyDescent="0.3">
      <c r="A123" t="s">
        <v>242</v>
      </c>
      <c r="B123" t="str">
        <f>VLOOKUP($A123,Cleaned!$A$2:$I$142,2,FALSE)</f>
        <v>Bob Johnson</v>
      </c>
      <c r="C123" t="str">
        <f>VLOOKUP($A123,Cleaned!$A$2:$I$142,3,FALSE)</f>
        <v>Sales</v>
      </c>
      <c r="D123" t="str">
        <f>VLOOKUP($A123,Cleaned!$A$2:$I$142,4,FALSE)</f>
        <v>Germany</v>
      </c>
      <c r="E123" s="4">
        <f>VLOOKUP($A123,Cleaned!$A$2:$I$142,5,FALSE)</f>
        <v>52036</v>
      </c>
      <c r="F123" s="5">
        <f>VLOOKUP($A123,Cleaned!$A$2:$I$142,6,FALSE)</f>
        <v>42862</v>
      </c>
      <c r="G123">
        <f>VLOOKUP($A123,Cleaned!$A$2:$I$142,7,FALSE)</f>
        <v>3</v>
      </c>
      <c r="H123" t="str">
        <f>VLOOKUP($A123,Cleaned!$A$2:$I$142,8,FALSE)</f>
        <v>Male</v>
      </c>
      <c r="I123" t="str">
        <f>VLOOKUP($A123,Cleaned!$A$2:$I$142,9,FALSE)</f>
        <v>user171@example.com</v>
      </c>
    </row>
    <row r="124" spans="1:9" x14ac:dyDescent="0.3">
      <c r="A124" t="s">
        <v>244</v>
      </c>
      <c r="B124" t="str">
        <f>VLOOKUP($A124,Cleaned!$A$2:$I$142,2,FALSE)</f>
        <v>Jane Smith</v>
      </c>
      <c r="C124" t="str">
        <f>VLOOKUP($A124,Cleaned!$A$2:$I$142,3,FALSE)</f>
        <v>Marketing</v>
      </c>
      <c r="D124" t="str">
        <f>VLOOKUP($A124,Cleaned!$A$2:$I$142,4,FALSE)</f>
        <v>Germany</v>
      </c>
      <c r="E124" s="4">
        <f>VLOOKUP($A124,Cleaned!$A$2:$I$142,5,FALSE)</f>
        <v>30357</v>
      </c>
      <c r="F124" s="5">
        <f>VLOOKUP($A124,Cleaned!$A$2:$I$142,6,FALSE)</f>
        <v>42869</v>
      </c>
      <c r="G124">
        <f>VLOOKUP($A124,Cleaned!$A$2:$I$142,7,FALSE)</f>
        <v>5</v>
      </c>
      <c r="H124" t="str">
        <f>VLOOKUP($A124,Cleaned!$A$2:$I$142,8,FALSE)</f>
        <v>Male</v>
      </c>
      <c r="I124" t="str">
        <f>VLOOKUP($A124,Cleaned!$A$2:$I$142,9,FALSE)</f>
        <v>user145@example.com</v>
      </c>
    </row>
    <row r="125" spans="1:9" x14ac:dyDescent="0.3">
      <c r="A125" t="s">
        <v>245</v>
      </c>
      <c r="B125" t="str">
        <f>VLOOKUP($A125,Cleaned!$A$2:$I$142,2,FALSE)</f>
        <v>John Doe</v>
      </c>
      <c r="C125" t="str">
        <f>VLOOKUP($A125,Cleaned!$A$2:$I$142,3,FALSE)</f>
        <v>IT</v>
      </c>
      <c r="D125" t="str">
        <f>VLOOKUP($A125,Cleaned!$A$2:$I$142,4,FALSE)</f>
        <v>India</v>
      </c>
      <c r="E125" s="4">
        <f>VLOOKUP($A125,Cleaned!$A$2:$I$142,5,FALSE)</f>
        <v>60034</v>
      </c>
      <c r="F125" s="5">
        <f>VLOOKUP($A125,Cleaned!$A$2:$I$142,6,FALSE)</f>
        <v>42876</v>
      </c>
      <c r="G125">
        <f>VLOOKUP($A125,Cleaned!$A$2:$I$142,7,FALSE)</f>
        <v>1</v>
      </c>
      <c r="H125" t="str">
        <f>VLOOKUP($A125,Cleaned!$A$2:$I$142,8,FALSE)</f>
        <v>Female</v>
      </c>
      <c r="I125" t="str">
        <f>VLOOKUP($A125,Cleaned!$A$2:$I$142,9,FALSE)</f>
        <v>user75@example.com</v>
      </c>
    </row>
    <row r="126" spans="1:9" x14ac:dyDescent="0.3">
      <c r="A126" t="s">
        <v>247</v>
      </c>
      <c r="B126" t="str">
        <f>VLOOKUP($A126,Cleaned!$A$2:$I$142,2,FALSE)</f>
        <v>John Doe</v>
      </c>
      <c r="C126" t="str">
        <f>VLOOKUP($A126,Cleaned!$A$2:$I$142,3,FALSE)</f>
        <v>Finance</v>
      </c>
      <c r="D126" t="str">
        <f>VLOOKUP($A126,Cleaned!$A$2:$I$142,4,FALSE)</f>
        <v>India</v>
      </c>
      <c r="E126" s="4">
        <f>VLOOKUP($A126,Cleaned!$A$2:$I$142,5,FALSE)</f>
        <v>90019</v>
      </c>
      <c r="F126" s="5">
        <f>VLOOKUP($A126,Cleaned!$A$2:$I$142,6,FALSE)</f>
        <v>42883</v>
      </c>
      <c r="G126">
        <f>VLOOKUP($A126,Cleaned!$A$2:$I$142,7,FALSE)</f>
        <v>5</v>
      </c>
      <c r="H126" t="str">
        <f>VLOOKUP($A126,Cleaned!$A$2:$I$142,8,FALSE)</f>
        <v>Female</v>
      </c>
      <c r="I126" t="str">
        <f>VLOOKUP($A126,Cleaned!$A$2:$I$142,9,FALSE)</f>
        <v>user52@example.com</v>
      </c>
    </row>
    <row r="127" spans="1:9" x14ac:dyDescent="0.3">
      <c r="A127" t="s">
        <v>249</v>
      </c>
      <c r="B127" t="str">
        <f>VLOOKUP($A127,Cleaned!$A$2:$I$142,2,FALSE)</f>
        <v>Bob Johnson</v>
      </c>
      <c r="C127" t="str">
        <f>VLOOKUP($A127,Cleaned!$A$2:$I$142,3,FALSE)</f>
        <v>Marketing</v>
      </c>
      <c r="D127" t="str">
        <f>VLOOKUP($A127,Cleaned!$A$2:$I$142,4,FALSE)</f>
        <v>Germany</v>
      </c>
      <c r="E127" s="4">
        <f>VLOOKUP($A127,Cleaned!$A$2:$I$142,5,FALSE)</f>
        <v>71494</v>
      </c>
      <c r="F127" s="5">
        <f>VLOOKUP($A127,Cleaned!$A$2:$I$142,6,FALSE)</f>
        <v>42890</v>
      </c>
      <c r="G127">
        <f>VLOOKUP($A127,Cleaned!$A$2:$I$142,7,FALSE)</f>
        <v>3</v>
      </c>
      <c r="H127" t="str">
        <f>VLOOKUP($A127,Cleaned!$A$2:$I$142,8,FALSE)</f>
        <v>Male</v>
      </c>
      <c r="I127" t="str">
        <f>VLOOKUP($A127,Cleaned!$A$2:$I$142,9,FALSE)</f>
        <v>user100@example.com</v>
      </c>
    </row>
    <row r="128" spans="1:9" x14ac:dyDescent="0.3">
      <c r="A128" t="s">
        <v>251</v>
      </c>
      <c r="B128" t="str">
        <f>VLOOKUP($A128,Cleaned!$A$2:$I$142,2,FALSE)</f>
        <v>John Doe</v>
      </c>
      <c r="C128" t="str">
        <f>VLOOKUP($A128,Cleaned!$A$2:$I$142,3,FALSE)</f>
        <v>Finance</v>
      </c>
      <c r="D128" t="str">
        <f>VLOOKUP($A128,Cleaned!$A$2:$I$142,4,FALSE)</f>
        <v>USA</v>
      </c>
      <c r="E128" s="4">
        <f>VLOOKUP($A128,Cleaned!$A$2:$I$142,5,FALSE)</f>
        <v>91953</v>
      </c>
      <c r="F128" s="5">
        <f>VLOOKUP($A128,Cleaned!$A$2:$I$142,6,FALSE)</f>
        <v>42897</v>
      </c>
      <c r="G128">
        <f>VLOOKUP($A128,Cleaned!$A$2:$I$142,7,FALSE)</f>
        <v>2</v>
      </c>
      <c r="H128" t="str">
        <f>VLOOKUP($A128,Cleaned!$A$2:$I$142,8,FALSE)</f>
        <v>Male</v>
      </c>
      <c r="I128" t="str">
        <f>VLOOKUP($A128,Cleaned!$A$2:$I$142,9,FALSE)</f>
        <v>user83@example.com</v>
      </c>
    </row>
    <row r="129" spans="1:9" x14ac:dyDescent="0.3">
      <c r="A129" t="s">
        <v>252</v>
      </c>
      <c r="B129" t="str">
        <f>VLOOKUP($A129,Cleaned!$A$2:$I$142,2,FALSE)</f>
        <v>Chris Lee</v>
      </c>
      <c r="C129" t="str">
        <f>VLOOKUP($A129,Cleaned!$A$2:$I$142,3,FALSE)</f>
        <v>Sales</v>
      </c>
      <c r="D129" t="str">
        <f>VLOOKUP($A129,Cleaned!$A$2:$I$142,4,FALSE)</f>
        <v>USA</v>
      </c>
      <c r="E129" s="4">
        <f>VLOOKUP($A129,Cleaned!$A$2:$I$142,5,FALSE)</f>
        <v>30402</v>
      </c>
      <c r="F129" s="5">
        <f>VLOOKUP($A129,Cleaned!$A$2:$I$142,6,FALSE)</f>
        <v>42904</v>
      </c>
      <c r="G129">
        <f>VLOOKUP($A129,Cleaned!$A$2:$I$142,7,FALSE)</f>
        <v>1</v>
      </c>
      <c r="H129" t="str">
        <f>VLOOKUP($A129,Cleaned!$A$2:$I$142,8,FALSE)</f>
        <v>Female</v>
      </c>
      <c r="I129" t="str">
        <f>VLOOKUP($A129,Cleaned!$A$2:$I$142,9,FALSE)</f>
        <v>user167@example.com</v>
      </c>
    </row>
    <row r="130" spans="1:9" x14ac:dyDescent="0.3">
      <c r="A130" t="s">
        <v>254</v>
      </c>
      <c r="B130" t="str">
        <f>VLOOKUP($A130,Cleaned!$A$2:$I$142,2,FALSE)</f>
        <v>Bob Johnson</v>
      </c>
      <c r="C130" t="str">
        <f>VLOOKUP($A130,Cleaned!$A$2:$I$142,3,FALSE)</f>
        <v>Marketing</v>
      </c>
      <c r="D130" t="str">
        <f>VLOOKUP($A130,Cleaned!$A$2:$I$142,4,FALSE)</f>
        <v>UK</v>
      </c>
      <c r="E130" s="4">
        <f>VLOOKUP($A130,Cleaned!$A$2:$I$142,5,FALSE)</f>
        <v>62994</v>
      </c>
      <c r="F130" s="5">
        <f>VLOOKUP($A130,Cleaned!$A$2:$I$142,6,FALSE)</f>
        <v>42911</v>
      </c>
      <c r="G130">
        <f>VLOOKUP($A130,Cleaned!$A$2:$I$142,7,FALSE)</f>
        <v>2</v>
      </c>
      <c r="H130" t="str">
        <f>VLOOKUP($A130,Cleaned!$A$2:$I$142,8,FALSE)</f>
        <v>Female</v>
      </c>
      <c r="I130" t="str">
        <f>VLOOKUP($A130,Cleaned!$A$2:$I$142,9,FALSE)</f>
        <v>user175@example.com</v>
      </c>
    </row>
    <row r="131" spans="1:9" x14ac:dyDescent="0.3">
      <c r="A131" t="s">
        <v>255</v>
      </c>
      <c r="B131" t="e">
        <f>VLOOKUP($A131,Cleaned!$A$2:$I$142,2,FALSE)</f>
        <v>#N/A</v>
      </c>
      <c r="C131" t="e">
        <f>VLOOKUP($A131,Cleaned!$A$2:$I$142,3,FALSE)</f>
        <v>#N/A</v>
      </c>
      <c r="D131" t="e">
        <f>VLOOKUP($A131,Cleaned!$A$2:$I$142,4,FALSE)</f>
        <v>#N/A</v>
      </c>
      <c r="E131" s="4" t="e">
        <f>VLOOKUP($A131,Cleaned!$A$2:$I$142,5,FALSE)</f>
        <v>#N/A</v>
      </c>
      <c r="F131" s="5" t="e">
        <f>VLOOKUP($A131,Cleaned!$A$2:$I$142,6,FALSE)</f>
        <v>#N/A</v>
      </c>
      <c r="G131" t="e">
        <f>VLOOKUP($A131,Cleaned!$A$2:$I$142,7,FALSE)</f>
        <v>#N/A</v>
      </c>
      <c r="H131" t="e">
        <f>VLOOKUP($A131,Cleaned!$A$2:$I$142,8,FALSE)</f>
        <v>#N/A</v>
      </c>
      <c r="I131" t="e">
        <f>VLOOKUP($A131,Cleaned!$A$2:$I$142,9,FALSE)</f>
        <v>#N/A</v>
      </c>
    </row>
    <row r="132" spans="1:9" x14ac:dyDescent="0.3">
      <c r="A132" t="s">
        <v>256</v>
      </c>
      <c r="B132" t="str">
        <f>VLOOKUP($A132,Cleaned!$A$2:$I$142,2,FALSE)</f>
        <v>Sam Wilson</v>
      </c>
      <c r="C132" t="str">
        <f>VLOOKUP($A132,Cleaned!$A$2:$I$142,3,FALSE)</f>
        <v>Marketing</v>
      </c>
      <c r="D132" t="str">
        <f>VLOOKUP($A132,Cleaned!$A$2:$I$142,4,FALSE)</f>
        <v>Germany</v>
      </c>
      <c r="E132" s="4">
        <f>VLOOKUP($A132,Cleaned!$A$2:$I$142,5,FALSE)</f>
        <v>34402</v>
      </c>
      <c r="F132" s="5">
        <f>VLOOKUP($A132,Cleaned!$A$2:$I$142,6,FALSE)</f>
        <v>42925</v>
      </c>
      <c r="G132">
        <f>VLOOKUP($A132,Cleaned!$A$2:$I$142,7,FALSE)</f>
        <v>3</v>
      </c>
      <c r="H132" t="str">
        <f>VLOOKUP($A132,Cleaned!$A$2:$I$142,8,FALSE)</f>
        <v>Other</v>
      </c>
      <c r="I132" t="str">
        <f>VLOOKUP($A132,Cleaned!$A$2:$I$142,9,FALSE)</f>
        <v>user42@example.com</v>
      </c>
    </row>
    <row r="133" spans="1:9" x14ac:dyDescent="0.3">
      <c r="A133" t="s">
        <v>257</v>
      </c>
      <c r="B133" t="str">
        <f>VLOOKUP($A133,Cleaned!$A$2:$I$142,2,FALSE)</f>
        <v>Eve Adams</v>
      </c>
      <c r="C133" t="str">
        <f>VLOOKUP($A133,Cleaned!$A$2:$I$142,3,FALSE)</f>
        <v>HR</v>
      </c>
      <c r="D133" t="str">
        <f>VLOOKUP($A133,Cleaned!$A$2:$I$142,4,FALSE)</f>
        <v>USA</v>
      </c>
      <c r="E133" s="4">
        <f>VLOOKUP($A133,Cleaned!$A$2:$I$142,5,FALSE)</f>
        <v>38678</v>
      </c>
      <c r="F133" s="5">
        <f>VLOOKUP($A133,Cleaned!$A$2:$I$142,6,FALSE)</f>
        <v>42932</v>
      </c>
      <c r="G133">
        <f>VLOOKUP($A133,Cleaned!$A$2:$I$142,7,FALSE)</f>
        <v>3</v>
      </c>
      <c r="H133" t="str">
        <f>VLOOKUP($A133,Cleaned!$A$2:$I$142,8,FALSE)</f>
        <v>Other</v>
      </c>
      <c r="I133" t="str">
        <f>VLOOKUP($A133,Cleaned!$A$2:$I$142,9,FALSE)</f>
        <v>user188@example.com</v>
      </c>
    </row>
    <row r="134" spans="1:9" x14ac:dyDescent="0.3">
      <c r="A134" t="s">
        <v>259</v>
      </c>
      <c r="B134" t="str">
        <f>VLOOKUP($A134,Cleaned!$A$2:$I$142,2,FALSE)</f>
        <v>Chris Lee</v>
      </c>
      <c r="C134" t="str">
        <f>VLOOKUP($A134,Cleaned!$A$2:$I$142,3,FALSE)</f>
        <v>HR</v>
      </c>
      <c r="D134" t="str">
        <f>VLOOKUP($A134,Cleaned!$A$2:$I$142,4,FALSE)</f>
        <v>Germany</v>
      </c>
      <c r="E134" s="4">
        <f>VLOOKUP($A134,Cleaned!$A$2:$I$142,5,FALSE)</f>
        <v>45758</v>
      </c>
      <c r="F134" s="5">
        <f>VLOOKUP($A134,Cleaned!$A$2:$I$142,6,FALSE)</f>
        <v>42939</v>
      </c>
      <c r="G134">
        <f>VLOOKUP($A134,Cleaned!$A$2:$I$142,7,FALSE)</f>
        <v>3</v>
      </c>
      <c r="H134" t="str">
        <f>VLOOKUP($A134,Cleaned!$A$2:$I$142,8,FALSE)</f>
        <v>Female</v>
      </c>
      <c r="I134" t="str">
        <f>VLOOKUP($A134,Cleaned!$A$2:$I$142,9,FALSE)</f>
        <v>user44@example.com</v>
      </c>
    </row>
    <row r="135" spans="1:9" x14ac:dyDescent="0.3">
      <c r="A135" t="s">
        <v>260</v>
      </c>
      <c r="B135" t="str">
        <f>VLOOKUP($A135,Cleaned!$A$2:$I$142,2,FALSE)</f>
        <v>Eve Adams</v>
      </c>
      <c r="C135" t="str">
        <f>VLOOKUP($A135,Cleaned!$A$2:$I$142,3,FALSE)</f>
        <v>Marketing</v>
      </c>
      <c r="D135" t="str">
        <f>VLOOKUP($A135,Cleaned!$A$2:$I$142,4,FALSE)</f>
        <v>India</v>
      </c>
      <c r="E135" s="4">
        <f>VLOOKUP($A135,Cleaned!$A$2:$I$142,5,FALSE)</f>
        <v>62476</v>
      </c>
      <c r="F135" s="5">
        <f>VLOOKUP($A135,Cleaned!$A$2:$I$142,6,FALSE)</f>
        <v>42946</v>
      </c>
      <c r="G135">
        <f>VLOOKUP($A135,Cleaned!$A$2:$I$142,7,FALSE)</f>
        <v>1</v>
      </c>
      <c r="H135" t="str">
        <f>VLOOKUP($A135,Cleaned!$A$2:$I$142,8,FALSE)</f>
        <v>Other</v>
      </c>
      <c r="I135" t="str">
        <f>VLOOKUP($A135,Cleaned!$A$2:$I$142,9,FALSE)</f>
        <v>user63@example.com</v>
      </c>
    </row>
    <row r="136" spans="1:9" x14ac:dyDescent="0.3">
      <c r="A136" t="s">
        <v>261</v>
      </c>
      <c r="B136" t="str">
        <f>VLOOKUP($A136,Cleaned!$A$2:$I$142,2,FALSE)</f>
        <v>Unknown</v>
      </c>
      <c r="C136" t="str">
        <f>VLOOKUP($A136,Cleaned!$A$2:$I$142,3,FALSE)</f>
        <v>IT</v>
      </c>
      <c r="D136" t="str">
        <f>VLOOKUP($A136,Cleaned!$A$2:$I$142,4,FALSE)</f>
        <v>UK</v>
      </c>
      <c r="E136" s="4">
        <f>VLOOKUP($A136,Cleaned!$A$2:$I$142,5,FALSE)</f>
        <v>39280</v>
      </c>
      <c r="F136" s="5">
        <f>VLOOKUP($A136,Cleaned!$A$2:$I$142,6,FALSE)</f>
        <v>42953</v>
      </c>
      <c r="G136">
        <f>VLOOKUP($A136,Cleaned!$A$2:$I$142,7,FALSE)</f>
        <v>3</v>
      </c>
      <c r="H136" t="str">
        <f>VLOOKUP($A136,Cleaned!$A$2:$I$142,8,FALSE)</f>
        <v>Female</v>
      </c>
      <c r="I136" t="str">
        <f>VLOOKUP($A136,Cleaned!$A$2:$I$142,9,FALSE)</f>
        <v>user198@example.com</v>
      </c>
    </row>
    <row r="137" spans="1:9" x14ac:dyDescent="0.3">
      <c r="A137" t="s">
        <v>262</v>
      </c>
      <c r="B137" t="str">
        <f>VLOOKUP($A137,Cleaned!$A$2:$I$142,2,FALSE)</f>
        <v>Jane Smith</v>
      </c>
      <c r="C137" t="str">
        <f>VLOOKUP($A137,Cleaned!$A$2:$I$142,3,FALSE)</f>
        <v>Finance</v>
      </c>
      <c r="D137" t="str">
        <f>VLOOKUP($A137,Cleaned!$A$2:$I$142,4,FALSE)</f>
        <v>India</v>
      </c>
      <c r="E137" s="4">
        <f>VLOOKUP($A137,Cleaned!$A$2:$I$142,5,FALSE)</f>
        <v>60335</v>
      </c>
      <c r="F137" s="5">
        <f>VLOOKUP($A137,Cleaned!$A$2:$I$142,6,FALSE)</f>
        <v>42960</v>
      </c>
      <c r="G137">
        <f>VLOOKUP($A137,Cleaned!$A$2:$I$142,7,FALSE)</f>
        <v>4</v>
      </c>
      <c r="H137" t="str">
        <f>VLOOKUP($A137,Cleaned!$A$2:$I$142,8,FALSE)</f>
        <v>Other</v>
      </c>
      <c r="I137" t="str">
        <f>VLOOKUP($A137,Cleaned!$A$2:$I$142,9,FALSE)</f>
        <v>user59@example.com</v>
      </c>
    </row>
    <row r="138" spans="1:9" x14ac:dyDescent="0.3">
      <c r="A138" t="s">
        <v>263</v>
      </c>
      <c r="B138" t="str">
        <f>VLOOKUP($A138,Cleaned!$A$2:$I$142,2,FALSE)</f>
        <v>Chris Lee</v>
      </c>
      <c r="C138" t="str">
        <f>VLOOKUP($A138,Cleaned!$A$2:$I$142,3,FALSE)</f>
        <v>HR</v>
      </c>
      <c r="D138" t="str">
        <f>VLOOKUP($A138,Cleaned!$A$2:$I$142,4,FALSE)</f>
        <v>Germany</v>
      </c>
      <c r="E138" s="4">
        <f>VLOOKUP($A138,Cleaned!$A$2:$I$142,5,FALSE)</f>
        <v>84968</v>
      </c>
      <c r="F138" s="5">
        <f>VLOOKUP($A138,Cleaned!$A$2:$I$142,6,FALSE)</f>
        <v>42967</v>
      </c>
      <c r="G138">
        <f>VLOOKUP($A138,Cleaned!$A$2:$I$142,7,FALSE)</f>
        <v>2</v>
      </c>
      <c r="H138" t="str">
        <f>VLOOKUP($A138,Cleaned!$A$2:$I$142,8,FALSE)</f>
        <v>Female</v>
      </c>
      <c r="I138" t="str">
        <f>VLOOKUP($A138,Cleaned!$A$2:$I$142,9,FALSE)</f>
        <v>user165@example.com</v>
      </c>
    </row>
    <row r="139" spans="1:9" x14ac:dyDescent="0.3">
      <c r="A139" t="s">
        <v>265</v>
      </c>
      <c r="B139" t="str">
        <f>VLOOKUP($A139,Cleaned!$A$2:$I$142,2,FALSE)</f>
        <v>Chris Lee</v>
      </c>
      <c r="C139" t="str">
        <f>VLOOKUP($A139,Cleaned!$A$2:$I$142,3,FALSE)</f>
        <v>Marketing</v>
      </c>
      <c r="D139" t="str">
        <f>VLOOKUP($A139,Cleaned!$A$2:$I$142,4,FALSE)</f>
        <v>Australia</v>
      </c>
      <c r="E139" s="4">
        <f>VLOOKUP($A139,Cleaned!$A$2:$I$142,5,FALSE)</f>
        <v>84750</v>
      </c>
      <c r="F139" s="5">
        <f>VLOOKUP($A139,Cleaned!$A$2:$I$142,6,FALSE)</f>
        <v>42974</v>
      </c>
      <c r="G139">
        <f>VLOOKUP($A139,Cleaned!$A$2:$I$142,7,FALSE)</f>
        <v>4</v>
      </c>
      <c r="H139" t="str">
        <f>VLOOKUP($A139,Cleaned!$A$2:$I$142,8,FALSE)</f>
        <v>Female</v>
      </c>
      <c r="I139" t="str">
        <f>VLOOKUP($A139,Cleaned!$A$2:$I$142,9,FALSE)</f>
        <v>user3@example.com</v>
      </c>
    </row>
    <row r="140" spans="1:9" x14ac:dyDescent="0.3">
      <c r="A140" t="s">
        <v>266</v>
      </c>
      <c r="B140" t="str">
        <f>VLOOKUP($A140,Cleaned!$A$2:$I$142,2,FALSE)</f>
        <v>Bob Johnson</v>
      </c>
      <c r="C140" t="str">
        <f>VLOOKUP($A140,Cleaned!$A$2:$I$142,3,FALSE)</f>
        <v>IT</v>
      </c>
      <c r="D140" t="str">
        <f>VLOOKUP($A140,Cleaned!$A$2:$I$142,4,FALSE)</f>
        <v>India</v>
      </c>
      <c r="E140" s="4">
        <f>VLOOKUP($A140,Cleaned!$A$2:$I$142,5,FALSE)</f>
        <v>73348</v>
      </c>
      <c r="F140" s="5">
        <f>VLOOKUP($A140,Cleaned!$A$2:$I$142,6,FALSE)</f>
        <v>42981</v>
      </c>
      <c r="G140">
        <f>VLOOKUP($A140,Cleaned!$A$2:$I$142,7,FALSE)</f>
        <v>2</v>
      </c>
      <c r="H140" t="str">
        <f>VLOOKUP($A140,Cleaned!$A$2:$I$142,8,FALSE)</f>
        <v>Female</v>
      </c>
      <c r="I140" t="str">
        <f>VLOOKUP($A140,Cleaned!$A$2:$I$142,9,FALSE)</f>
        <v>user22@example.com</v>
      </c>
    </row>
    <row r="141" spans="1:9" x14ac:dyDescent="0.3">
      <c r="A141" t="s">
        <v>267</v>
      </c>
      <c r="B141" t="str">
        <f>VLOOKUP($A141,Cleaned!$A$2:$I$142,2,FALSE)</f>
        <v>Chris Lee</v>
      </c>
      <c r="C141" t="str">
        <f>VLOOKUP($A141,Cleaned!$A$2:$I$142,3,FALSE)</f>
        <v>Sales</v>
      </c>
      <c r="D141" t="str">
        <f>VLOOKUP($A141,Cleaned!$A$2:$I$142,4,FALSE)</f>
        <v>USA</v>
      </c>
      <c r="E141" s="4">
        <f>VLOOKUP($A141,Cleaned!$A$2:$I$142,5,FALSE)</f>
        <v>70375.869565217392</v>
      </c>
      <c r="F141" s="5">
        <f>VLOOKUP($A141,Cleaned!$A$2:$I$142,6,FALSE)</f>
        <v>42988</v>
      </c>
      <c r="G141">
        <f>VLOOKUP($A141,Cleaned!$A$2:$I$142,7,FALSE)</f>
        <v>4</v>
      </c>
      <c r="H141" t="str">
        <f>VLOOKUP($A141,Cleaned!$A$2:$I$142,8,FALSE)</f>
        <v>Other</v>
      </c>
      <c r="I141" t="str">
        <f>VLOOKUP($A141,Cleaned!$A$2:$I$142,9,FALSE)</f>
        <v>invalid_email</v>
      </c>
    </row>
    <row r="142" spans="1:9" x14ac:dyDescent="0.3">
      <c r="A142" t="s">
        <v>268</v>
      </c>
      <c r="B142" t="str">
        <f>VLOOKUP($A142,Cleaned!$A$2:$I$142,2,FALSE)</f>
        <v>Jane Smith</v>
      </c>
      <c r="C142" t="str">
        <f>VLOOKUP($A142,Cleaned!$A$2:$I$142,3,FALSE)</f>
        <v>Marketing</v>
      </c>
      <c r="D142" t="str">
        <f>VLOOKUP($A142,Cleaned!$A$2:$I$142,4,FALSE)</f>
        <v>USA</v>
      </c>
      <c r="E142" s="4">
        <f>VLOOKUP($A142,Cleaned!$A$2:$I$142,5,FALSE)</f>
        <v>66882</v>
      </c>
      <c r="F142" s="5">
        <f>VLOOKUP($A142,Cleaned!$A$2:$I$142,6,FALSE)</f>
        <v>42995</v>
      </c>
      <c r="G142">
        <f>VLOOKUP($A142,Cleaned!$A$2:$I$142,7,FALSE)</f>
        <v>5</v>
      </c>
      <c r="H142" t="str">
        <f>VLOOKUP($A142,Cleaned!$A$2:$I$142,8,FALSE)</f>
        <v>Other</v>
      </c>
      <c r="I142" t="str">
        <f>VLOOKUP($A142,Cleaned!$A$2:$I$142,9,FALSE)</f>
        <v>user103@example.com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2026-01-30T05:42:07Z</dcterms:created>
  <dcterms:modified xsi:type="dcterms:W3CDTF">2026-01-31T14:24:08Z</dcterms:modified>
</cp:coreProperties>
</file>