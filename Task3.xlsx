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9C12C5D4-2610-4D37-83F1-44DD214326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1" sheetId="2" r:id="rId1"/>
    <sheet name="Task2" sheetId="3" r:id="rId2"/>
    <sheet name="Task3" sheetId="4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O4" i="4"/>
  <c r="P3" i="4"/>
  <c r="O3" i="4"/>
  <c r="N4" i="4"/>
  <c r="M4" i="4"/>
  <c r="L4" i="4"/>
  <c r="N3" i="4"/>
  <c r="M3" i="4"/>
  <c r="L3" i="4"/>
</calcChain>
</file>

<file path=xl/sharedStrings.xml><?xml version="1.0" encoding="utf-8"?>
<sst xmlns="http://schemas.openxmlformats.org/spreadsheetml/2006/main" count="2461" uniqueCount="202">
  <si>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</si>
  <si>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</si>
  <si>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</si>
  <si>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</si>
  <si>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</si>
  <si>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</si>
  <si>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</si>
  <si>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</si>
  <si>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</si>
  <si>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</si>
  <si>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</si>
  <si>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</si>
  <si>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</si>
  <si>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</si>
  <si>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</si>
  <si>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</si>
  <si>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</si>
  <si>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</si>
  <si>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</si>
  <si>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</si>
  <si>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</si>
  <si>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</si>
  <si>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</si>
  <si>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</si>
  <si>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</si>
  <si>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</si>
  <si>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</si>
  <si>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</si>
  <si>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</si>
  <si>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</si>
  <si>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</si>
  <si>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</si>
  <si>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</si>
  <si>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</si>
  <si>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</si>
  <si>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</si>
  <si>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</si>
  <si>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</si>
  <si>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</si>
  <si>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</si>
  <si>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</si>
  <si>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</si>
  <si>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</si>
  <si>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</si>
  <si>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</si>
  <si>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</si>
  <si>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</si>
  <si>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</si>
  <si>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</si>
  <si>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</si>
  <si>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</si>
  <si>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</si>
  <si>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</si>
  <si>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</si>
  <si>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</si>
  <si>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</si>
  <si>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</si>
  <si>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</si>
  <si>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</si>
  <si>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</si>
  <si>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</si>
  <si>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</si>
  <si>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</si>
  <si>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</si>
  <si>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</si>
  <si>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</si>
  <si>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</si>
  <si>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</si>
  <si>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</si>
  <si>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</si>
  <si>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</si>
  <si>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</si>
  <si>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</si>
  <si>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</si>
  <si>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</si>
  <si>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</si>
  <si>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</si>
  <si>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</si>
  <si>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</si>
  <si>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</si>
  <si>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</si>
  <si>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</si>
  <si>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</si>
  <si>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</si>
  <si>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</si>
  <si>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</si>
  <si>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</si>
  <si>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</si>
  <si>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</si>
  <si>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</si>
  <si>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</si>
  <si>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</si>
  <si>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</si>
  <si>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</si>
  <si>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</si>
  <si>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</si>
  <si>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</si>
  <si>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</si>
  <si>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</si>
  <si>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</si>
  <si>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</si>
  <si>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</si>
  <si>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</si>
  <si>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</si>
  <si>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</si>
  <si>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</si>
  <si>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</si>
  <si>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</si>
  <si>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</si>
  <si>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</si>
  <si>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</si>
  <si>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</si>
  <si>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</si>
  <si>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</si>
  <si>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</si>
  <si>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</si>
  <si>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</si>
  <si>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</si>
  <si>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</si>
  <si>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</si>
  <si>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</si>
  <si>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</si>
  <si>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</si>
  <si>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</si>
  <si>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</si>
  <si>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</si>
  <si>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</si>
  <si>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</si>
  <si>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</si>
  <si>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</si>
  <si>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</si>
  <si>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</si>
  <si>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</si>
  <si>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</si>
  <si>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</si>
  <si>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</si>
  <si>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</si>
  <si>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</si>
  <si>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</si>
  <si>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</si>
  <si>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</si>
  <si>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</si>
  <si>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</si>
  <si>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</si>
  <si>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</si>
  <si>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</si>
  <si>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</si>
  <si>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</si>
  <si>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</si>
  <si>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</si>
  <si>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</si>
  <si>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</si>
  <si>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</si>
  <si>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</si>
  <si>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</si>
  <si>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</si>
  <si>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</si>
  <si>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</si>
  <si>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</si>
  <si>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</si>
  <si>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</si>
  <si>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</si>
  <si>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</si>
  <si>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</si>
  <si>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</si>
  <si>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</si>
  <si>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</si>
  <si>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</si>
  <si>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</si>
  <si>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</si>
  <si>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</si>
  <si>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</si>
  <si>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</si>
  <si>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</si>
  <si>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</si>
  <si>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</si>
  <si>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</si>
  <si>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</si>
  <si>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</si>
  <si>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</si>
  <si>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</si>
  <si>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</si>
  <si>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</si>
  <si>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</si>
  <si>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</si>
  <si>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r>
      <t xml:space="preserve">1)The dataset contains </t>
    </r>
    <r>
      <rPr>
        <b/>
        <sz val="11"/>
        <color theme="1"/>
        <rFont val="Calibri"/>
        <family val="2"/>
        <scheme val="minor"/>
      </rPr>
      <t>151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rows</t>
    </r>
    <r>
      <rPr>
        <sz val="11"/>
        <color theme="1"/>
        <rFont val="Calibri"/>
        <family val="2"/>
        <scheme val="minor"/>
      </rPr>
      <t xml:space="preserve"> including </t>
    </r>
    <r>
      <rPr>
        <b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columns</t>
    </r>
  </si>
  <si>
    <r>
      <t>2)</t>
    </r>
    <r>
      <rPr>
        <b/>
        <sz val="11"/>
        <color theme="1"/>
        <rFont val="Calibri"/>
        <family val="2"/>
        <scheme val="minor"/>
      </rPr>
      <t>Numerical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data:</t>
    </r>
    <r>
      <rPr>
        <sz val="11"/>
        <color theme="1"/>
        <rFont val="Calibri"/>
        <family val="2"/>
        <scheme val="minor"/>
      </rPr>
      <t xml:space="preserve"> Salary, Date of joining, Performance rating    </t>
    </r>
    <r>
      <rPr>
        <b/>
        <sz val="11"/>
        <color theme="1"/>
        <rFont val="Calibri"/>
        <family val="2"/>
        <scheme val="minor"/>
      </rPr>
      <t>Categorical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Data: </t>
    </r>
    <r>
      <rPr>
        <sz val="11"/>
        <color theme="1"/>
        <rFont val="Calibri"/>
        <family val="2"/>
        <scheme val="minor"/>
      </rPr>
      <t>Employee ID, name, Department, country, gender, email</t>
    </r>
  </si>
  <si>
    <r>
      <t xml:space="preserve">8)Some records in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values</t>
    </r>
  </si>
  <si>
    <r>
      <t xml:space="preserve">5)In some records they mentioned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</si>
  <si>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3)Some columns </t>
    </r>
    <r>
      <rPr>
        <b/>
        <sz val="11"/>
        <color theme="1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 xml:space="preserve"> and their </t>
    </r>
    <r>
      <rPr>
        <b/>
        <sz val="11"/>
        <color theme="1"/>
        <rFont val="Calibri"/>
        <family val="2"/>
        <scheme val="minor"/>
      </rPr>
      <t>values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cells because of </t>
    </r>
    <r>
      <rPr>
        <b/>
        <sz val="11"/>
        <color theme="1"/>
        <rFont val="Calibri"/>
        <family val="2"/>
        <scheme val="minor"/>
      </rPr>
      <t>insufficient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width</t>
    </r>
  </si>
  <si>
    <r>
      <t>4)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missing</t>
    </r>
    <r>
      <rPr>
        <sz val="11"/>
        <color theme="1"/>
        <rFont val="Calibri"/>
        <family val="2"/>
        <scheme val="minor"/>
      </rPr>
      <t xml:space="preserve"> in some records</t>
    </r>
  </si>
  <si>
    <r>
      <t>6)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records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</si>
  <si>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r>
      <t xml:space="preserve">7)Some datas in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joining</t>
    </r>
    <r>
      <rPr>
        <sz val="11"/>
        <color theme="1"/>
        <rFont val="Calibri"/>
        <family val="2"/>
        <scheme val="minor"/>
      </rPr>
      <t xml:space="preserve"> are also </t>
    </r>
    <r>
      <rPr>
        <b/>
        <sz val="11"/>
        <color theme="1"/>
        <rFont val="Calibri"/>
        <family val="2"/>
        <scheme val="minor"/>
      </rPr>
      <t>missing</t>
    </r>
  </si>
  <si>
    <t>OBSERVATION :</t>
  </si>
  <si>
    <t xml:space="preserve">       Column width were adjusted to improve data visibilty </t>
  </si>
  <si>
    <t xml:space="preserve">       The header row is formatted with bold black text and center alignment with blue background </t>
  </si>
  <si>
    <t>Total</t>
  </si>
  <si>
    <t>Average</t>
  </si>
  <si>
    <t>Count</t>
  </si>
  <si>
    <t>Max</t>
  </si>
  <si>
    <t>Min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</si>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</sst>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9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1" fillId="0" borderId="2" xfId="0" applyFont="1" applyFill="1" applyBorder="1" applyAlignment="1">
      <alignment horizontal="center"/>
    </xf>
    <xf numFmtId="169" fontId="0" fillId="0" borderId="2" xfId="0" applyNumberFormat="1" applyBorder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1EBD-D3E1-47AA-8F1D-056B61A00034}">
  <dimension ref="A1:A8"/>
  <sheetViews>
    <sheetView zoomScaleNormal="100" workbookViewId="0">
      <selection activeCell="A13" sqref="A13"/>
    </sheetView>
  </sheetViews>
  <sheetFormatPr defaultRowHeight="14.4" x14ac:dyDescent="0.3"/>
  <cols>
    <col min="1" max="1" width="60.44140625" customWidth="1"/>
  </cols>
  <sheetData>
    <row r="1" spans="1:1" ht="20.399999999999999" customHeight="1" x14ac:dyDescent="0.3">
      <c r="A1" t="s">
        <v>185</v>
      </c>
    </row>
    <row r="2" spans="1:1" s="3" customFormat="1" ht="48.6" customHeight="1" x14ac:dyDescent="0.3">
      <c r="A2" s="3" t="s">
        <v>186</v>
      </c>
    </row>
    <row r="3" spans="1:1" ht="28.8" x14ac:dyDescent="0.3">
      <c r="A3" s="3" t="s">
        <v>189</v>
      </c>
    </row>
    <row r="4" spans="1:1" x14ac:dyDescent="0.3">
      <c r="A4" t="s">
        <v>190</v>
      </c>
    </row>
    <row r="5" spans="1:1" x14ac:dyDescent="0.3">
      <c r="A5" t="s">
        <v>188</v>
      </c>
    </row>
    <row r="6" spans="1:1" x14ac:dyDescent="0.3">
      <c r="A6" t="s">
        <v>191</v>
      </c>
    </row>
    <row r="7" spans="1:1" ht="28.8" x14ac:dyDescent="0.3">
      <c r="A7" s="3" t="s">
        <v>192</v>
      </c>
    </row>
    <row r="8" spans="1:1" x14ac:dyDescent="0.3">
      <c r="A8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33E-4F2E-46C8-9737-96596BB6655B}">
  <dimension ref="A1:K152"/>
  <sheetViews>
    <sheetView tabSelected="1" workbookViewId="0">
      <selection activeCell="C1" sqref="C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44140625" customWidth="1"/>
    <col min="5" max="5" width="8.21875" customWidth="1"/>
    <col min="6" max="6" width="18.109375" bestFit="1" customWidth="1"/>
    <col min="7" max="7" width="17.88671875" bestFit="1" customWidth="1"/>
    <col min="8" max="8" width="8.77734375" customWidth="1"/>
    <col min="9" max="9" width="20.44140625" customWidth="1"/>
    <col min="10" max="10" width="7.77734375" customWidth="1"/>
    <col min="11" max="11" width="80.88671875" style="3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5" t="s">
        <v>7</v>
      </c>
      <c r="I1" s="5" t="s">
        <v>8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 s="9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 s="19">
        <v>54255</v>
      </c>
      <c r="F3" s="2">
        <v>42015</v>
      </c>
      <c r="G3" s="4">
        <v>1</v>
      </c>
      <c r="H3" t="s">
        <v>179</v>
      </c>
      <c r="I3" t="s">
        <v>183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 s="19">
        <v>63184</v>
      </c>
      <c r="F4" s="2">
        <v>42022</v>
      </c>
      <c r="G4" s="4">
        <v>2</v>
      </c>
      <c r="I4" t="s">
        <v>184</v>
      </c>
      <c r="K4" s="6" t="s">
        <v>193</v>
      </c>
    </row>
    <row r="5" spans="1:11" ht="13.8" customHeight="1" x14ac:dyDescent="0.3">
      <c r="A5" t="s">
        <v>12</v>
      </c>
      <c r="B5" t="s">
        <v>161</v>
      </c>
      <c r="C5" t="s">
        <v>168</v>
      </c>
      <c r="D5" t="s">
        <v>173</v>
      </c>
      <c r="E5" s="19">
        <v>94406</v>
      </c>
      <c r="F5" s="2">
        <v>42029</v>
      </c>
      <c r="G5" s="4">
        <v>1</v>
      </c>
      <c r="H5" t="s">
        <v>180</v>
      </c>
      <c r="I5" t="s">
        <v>184</v>
      </c>
      <c r="K5" s="7" t="s">
        <v>194</v>
      </c>
    </row>
    <row r="6" spans="1:11" ht="14.4" customHeight="1" x14ac:dyDescent="0.3">
      <c r="A6" t="s">
        <v>13</v>
      </c>
      <c r="B6" t="s">
        <v>162</v>
      </c>
      <c r="C6" t="s">
        <v>168</v>
      </c>
      <c r="D6" t="s">
        <v>172</v>
      </c>
      <c r="E6" s="19">
        <v>64120</v>
      </c>
      <c r="F6" s="2">
        <v>42036</v>
      </c>
      <c r="G6" s="4">
        <v>1</v>
      </c>
      <c r="H6" t="s">
        <v>180</v>
      </c>
      <c r="I6" t="s">
        <v>184</v>
      </c>
      <c r="K6" s="3" t="s">
        <v>195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 s="19">
        <v>78421</v>
      </c>
      <c r="F7" s="2">
        <v>42043</v>
      </c>
      <c r="G7" s="4">
        <v>2</v>
      </c>
      <c r="H7" t="s">
        <v>181</v>
      </c>
      <c r="I7" t="s">
        <v>184</v>
      </c>
    </row>
    <row r="8" spans="1:11" x14ac:dyDescent="0.3">
      <c r="A8" t="s">
        <v>15</v>
      </c>
      <c r="B8" t="s">
        <v>163</v>
      </c>
      <c r="C8" t="s">
        <v>168</v>
      </c>
      <c r="E8" s="19">
        <v>67721</v>
      </c>
      <c r="F8" s="2">
        <v>42050</v>
      </c>
      <c r="G8" s="4"/>
      <c r="H8" t="s">
        <v>180</v>
      </c>
      <c r="I8" t="s">
        <v>184</v>
      </c>
    </row>
    <row r="9" spans="1:11" x14ac:dyDescent="0.3">
      <c r="A9" t="s">
        <v>16</v>
      </c>
      <c r="B9" t="s">
        <v>164</v>
      </c>
      <c r="C9" t="s">
        <v>170</v>
      </c>
      <c r="E9" s="19">
        <v>35364</v>
      </c>
      <c r="F9" s="2">
        <v>42057</v>
      </c>
      <c r="G9" s="4">
        <v>2</v>
      </c>
      <c r="H9" t="s">
        <v>179</v>
      </c>
      <c r="I9" t="s">
        <v>184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 s="19">
        <v>97881</v>
      </c>
      <c r="F10" s="2">
        <v>42064</v>
      </c>
      <c r="G10" s="4"/>
      <c r="H10" t="s">
        <v>181</v>
      </c>
      <c r="I10" t="s">
        <v>184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 s="19">
        <v>91846</v>
      </c>
      <c r="F11" s="2">
        <v>42071</v>
      </c>
      <c r="G11" s="4"/>
      <c r="H11" t="s">
        <v>180</v>
      </c>
      <c r="I11" t="s">
        <v>184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 s="19">
        <v>64247</v>
      </c>
      <c r="F12" s="2">
        <v>42078</v>
      </c>
      <c r="G12" s="10">
        <v>1</v>
      </c>
      <c r="H12" t="s">
        <v>181</v>
      </c>
      <c r="I12" t="s">
        <v>184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 s="19">
        <v>91180</v>
      </c>
      <c r="F13" s="2">
        <v>42085</v>
      </c>
      <c r="G13" s="4">
        <v>5</v>
      </c>
      <c r="H13" t="s">
        <v>180</v>
      </c>
      <c r="I13" t="s">
        <v>184</v>
      </c>
    </row>
    <row r="14" spans="1:11" x14ac:dyDescent="0.3">
      <c r="A14" t="s">
        <v>21</v>
      </c>
      <c r="B14" t="s">
        <v>165</v>
      </c>
      <c r="C14" t="s">
        <v>168</v>
      </c>
      <c r="E14" s="19">
        <v>96418</v>
      </c>
      <c r="F14" s="2">
        <v>42092</v>
      </c>
      <c r="G14" s="4">
        <v>5</v>
      </c>
      <c r="H14" t="s">
        <v>180</v>
      </c>
      <c r="I14" t="s">
        <v>184</v>
      </c>
    </row>
    <row r="15" spans="1:11" x14ac:dyDescent="0.3">
      <c r="A15" t="s">
        <v>22</v>
      </c>
      <c r="B15" t="s">
        <v>163</v>
      </c>
      <c r="D15" t="s">
        <v>174</v>
      </c>
      <c r="E15" s="19">
        <v>62158</v>
      </c>
      <c r="F15" s="2">
        <v>42099</v>
      </c>
      <c r="G15" s="4">
        <v>4</v>
      </c>
      <c r="I15" t="s">
        <v>184</v>
      </c>
    </row>
    <row r="16" spans="1:11" x14ac:dyDescent="0.3">
      <c r="A16" t="s">
        <v>23</v>
      </c>
      <c r="B16" t="s">
        <v>162</v>
      </c>
      <c r="C16" t="s">
        <v>167</v>
      </c>
      <c r="E16" s="19">
        <v>59894</v>
      </c>
      <c r="F16" s="2">
        <v>42106</v>
      </c>
      <c r="G16" s="4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 s="19">
        <v>92443</v>
      </c>
      <c r="F17" s="2">
        <v>42113</v>
      </c>
      <c r="G17" s="4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 s="19">
        <v>90271</v>
      </c>
      <c r="F18" s="2">
        <v>42120</v>
      </c>
      <c r="G18" s="4"/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19">
        <v>41341</v>
      </c>
      <c r="F19" s="2">
        <v>42127</v>
      </c>
      <c r="G19" s="4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19">
        <v>73602</v>
      </c>
      <c r="F20" s="2">
        <v>42134</v>
      </c>
      <c r="G20" s="4"/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 s="19">
        <v>67531</v>
      </c>
      <c r="F21" s="2">
        <v>42141</v>
      </c>
      <c r="G21" s="4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19" t="s">
        <v>177</v>
      </c>
      <c r="F22" s="2">
        <v>42148</v>
      </c>
      <c r="G22" s="4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 s="19">
        <v>98922</v>
      </c>
      <c r="F23" s="2">
        <v>42155</v>
      </c>
      <c r="G23" s="4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19">
        <v>38333</v>
      </c>
      <c r="F24" s="2">
        <v>42162</v>
      </c>
      <c r="G24" s="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19">
        <v>36515</v>
      </c>
      <c r="F25" s="2">
        <v>42169</v>
      </c>
      <c r="G25" s="4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 s="19">
        <v>91005</v>
      </c>
      <c r="F26" s="2">
        <v>42176</v>
      </c>
      <c r="G26" s="4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 s="19">
        <v>52272</v>
      </c>
      <c r="F27" s="2">
        <v>42183</v>
      </c>
      <c r="G27" s="4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19">
        <v>76518</v>
      </c>
      <c r="F28" s="2">
        <v>42190</v>
      </c>
      <c r="G28" s="4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19">
        <v>41448</v>
      </c>
      <c r="F29" s="2">
        <v>42197</v>
      </c>
      <c r="G29" s="4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19">
        <v>49282</v>
      </c>
      <c r="F30" s="2">
        <v>42204</v>
      </c>
      <c r="G30" s="4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19">
        <v>92959</v>
      </c>
      <c r="F31" s="2">
        <v>42211</v>
      </c>
      <c r="G31" s="4">
        <v>5</v>
      </c>
      <c r="I31" t="s">
        <v>184</v>
      </c>
    </row>
    <row r="32" spans="1:9" x14ac:dyDescent="0.3">
      <c r="A32" t="s">
        <v>39</v>
      </c>
      <c r="C32" t="s">
        <v>170</v>
      </c>
      <c r="E32" s="19">
        <v>92259</v>
      </c>
      <c r="G32" s="4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19">
        <v>92299</v>
      </c>
      <c r="F33" s="2">
        <v>42225</v>
      </c>
      <c r="G33" s="4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 s="19">
        <v>95586</v>
      </c>
      <c r="F34" s="2">
        <v>42232</v>
      </c>
      <c r="G34" s="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 s="19">
        <v>95367</v>
      </c>
      <c r="F35" s="2">
        <v>42239</v>
      </c>
      <c r="G35" s="4"/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19">
        <v>79549</v>
      </c>
      <c r="F36" s="2">
        <v>42246</v>
      </c>
      <c r="G36" s="4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 s="19">
        <v>54463</v>
      </c>
      <c r="F37" s="2">
        <v>42253</v>
      </c>
      <c r="G37" s="4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19">
        <v>89781</v>
      </c>
      <c r="F38" s="2">
        <v>42260</v>
      </c>
      <c r="G38" s="4"/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 s="19">
        <v>64796</v>
      </c>
      <c r="F39" s="2">
        <v>42267</v>
      </c>
      <c r="G39" s="4"/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19">
        <v>52093</v>
      </c>
      <c r="F40" s="2">
        <v>42274</v>
      </c>
      <c r="G40" s="4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19">
        <v>48224</v>
      </c>
      <c r="F41" s="2">
        <v>42281</v>
      </c>
      <c r="G41" s="4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19" t="s">
        <v>177</v>
      </c>
      <c r="G42" s="4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19">
        <v>33956</v>
      </c>
      <c r="F43" s="2">
        <v>42295</v>
      </c>
      <c r="G43" s="4"/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 s="19">
        <v>64913</v>
      </c>
      <c r="F44" s="2">
        <v>42302</v>
      </c>
      <c r="G44" s="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19">
        <v>35326</v>
      </c>
      <c r="F45" s="2">
        <v>42309</v>
      </c>
      <c r="G45" s="4"/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 s="19">
        <v>81610</v>
      </c>
      <c r="F46" s="2">
        <v>42316</v>
      </c>
      <c r="G46" s="4">
        <v>1</v>
      </c>
      <c r="I46" t="s">
        <v>184</v>
      </c>
    </row>
    <row r="47" spans="1:9" x14ac:dyDescent="0.3">
      <c r="A47" t="s">
        <v>54</v>
      </c>
      <c r="C47" t="s">
        <v>167</v>
      </c>
      <c r="E47" s="19">
        <v>58962</v>
      </c>
      <c r="F47" s="2">
        <v>42323</v>
      </c>
      <c r="G47" s="4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19">
        <v>92701</v>
      </c>
      <c r="F48" s="2">
        <v>42330</v>
      </c>
      <c r="G48" s="4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19">
        <v>58245</v>
      </c>
      <c r="F49" s="2">
        <v>42337</v>
      </c>
      <c r="G49" s="4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 s="19">
        <v>66513</v>
      </c>
      <c r="F50" s="2">
        <v>42344</v>
      </c>
      <c r="G50" s="4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19">
        <v>78720</v>
      </c>
      <c r="F51" s="2">
        <v>42351</v>
      </c>
      <c r="G51" s="4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 s="19">
        <v>30686</v>
      </c>
      <c r="G52" s="4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19">
        <v>39423</v>
      </c>
      <c r="F53" s="2">
        <v>42365</v>
      </c>
      <c r="G53" s="4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 s="19">
        <v>30280</v>
      </c>
      <c r="F54" s="2">
        <v>42372</v>
      </c>
      <c r="G54" s="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19">
        <v>33352</v>
      </c>
      <c r="F55" s="2">
        <v>42379</v>
      </c>
      <c r="G55" s="4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19">
        <v>75633</v>
      </c>
      <c r="F56" s="2">
        <v>42386</v>
      </c>
      <c r="G56" s="4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 s="19">
        <v>74815</v>
      </c>
      <c r="F57" s="2">
        <v>42393</v>
      </c>
      <c r="G57" s="4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19">
        <v>60011</v>
      </c>
      <c r="F58" s="2">
        <v>42400</v>
      </c>
      <c r="G58" s="4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 s="19">
        <v>96949</v>
      </c>
      <c r="F59" s="2">
        <v>42407</v>
      </c>
      <c r="G59" s="4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 s="19">
        <v>84924</v>
      </c>
      <c r="F60" s="2">
        <v>42414</v>
      </c>
      <c r="G60" s="4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19">
        <v>82033</v>
      </c>
      <c r="F61" s="2">
        <v>42421</v>
      </c>
      <c r="G61" s="4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s="19" t="s">
        <v>177</v>
      </c>
      <c r="G62" s="4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 s="19">
        <v>31499</v>
      </c>
      <c r="F63" s="2">
        <v>42435</v>
      </c>
      <c r="G63" s="4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19">
        <v>97981</v>
      </c>
      <c r="F64" s="2">
        <v>42442</v>
      </c>
      <c r="G64" s="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19">
        <v>36541</v>
      </c>
      <c r="F65" s="2">
        <v>42449</v>
      </c>
      <c r="G65" s="4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19">
        <v>84737</v>
      </c>
      <c r="F66" s="2">
        <v>42456</v>
      </c>
      <c r="G66" s="4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19">
        <v>33468</v>
      </c>
      <c r="F67" s="2">
        <v>42463</v>
      </c>
      <c r="G67" s="4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 s="19">
        <v>96365</v>
      </c>
      <c r="F68" s="2">
        <v>42470</v>
      </c>
      <c r="G68" s="4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19">
        <v>61942</v>
      </c>
      <c r="F69" s="2">
        <v>42477</v>
      </c>
      <c r="G69" s="4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19">
        <v>41467</v>
      </c>
      <c r="F70" s="2">
        <v>42484</v>
      </c>
      <c r="G70" s="4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19">
        <v>77096</v>
      </c>
      <c r="F71" s="2">
        <v>42491</v>
      </c>
      <c r="G71" s="4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19">
        <v>69952</v>
      </c>
      <c r="F72" s="2">
        <v>42498</v>
      </c>
      <c r="G72" s="4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19">
        <v>85065</v>
      </c>
      <c r="F73" s="2">
        <v>42505</v>
      </c>
      <c r="G73" s="4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19">
        <v>56512</v>
      </c>
      <c r="F74" s="2">
        <v>42512</v>
      </c>
      <c r="G74" s="4"/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19">
        <v>91101</v>
      </c>
      <c r="F75" s="2">
        <v>42519</v>
      </c>
      <c r="G75" s="4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 s="19">
        <v>41243</v>
      </c>
      <c r="F76" s="2">
        <v>42526</v>
      </c>
      <c r="G76" s="4"/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 s="19">
        <v>96142</v>
      </c>
      <c r="F77" s="2">
        <v>42533</v>
      </c>
      <c r="G77" s="4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19">
        <v>94301</v>
      </c>
      <c r="F78" s="2">
        <v>42540</v>
      </c>
      <c r="G78" s="4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 s="19">
        <v>69166</v>
      </c>
      <c r="F79" s="2">
        <v>42547</v>
      </c>
      <c r="G79" s="4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 s="19">
        <v>78245</v>
      </c>
      <c r="F80" s="2">
        <v>42554</v>
      </c>
      <c r="G80" s="4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19">
        <v>66079</v>
      </c>
      <c r="F81" s="2">
        <v>42561</v>
      </c>
      <c r="G81" s="4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19" t="s">
        <v>177</v>
      </c>
      <c r="G82" s="4"/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19">
        <v>95621</v>
      </c>
      <c r="F83" s="2">
        <v>42575</v>
      </c>
      <c r="G83" s="4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19">
        <v>42262</v>
      </c>
      <c r="F84" s="2">
        <v>42582</v>
      </c>
      <c r="G84" s="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19">
        <v>99621</v>
      </c>
      <c r="F85" s="2">
        <v>42589</v>
      </c>
      <c r="G85" s="4"/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19">
        <v>44682</v>
      </c>
      <c r="F86" s="2">
        <v>42596</v>
      </c>
      <c r="G86" s="4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 s="19">
        <v>35163</v>
      </c>
      <c r="F87" s="2">
        <v>42603</v>
      </c>
      <c r="G87" s="4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19">
        <v>33483</v>
      </c>
      <c r="F88" s="2">
        <v>42610</v>
      </c>
      <c r="G88" s="4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19">
        <v>55303</v>
      </c>
      <c r="F89" s="2">
        <v>42617</v>
      </c>
      <c r="G89" s="4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 s="19">
        <v>63434</v>
      </c>
      <c r="F90" s="2">
        <v>42624</v>
      </c>
      <c r="G90" s="4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 s="19">
        <v>38830</v>
      </c>
      <c r="F91" s="2">
        <v>42631</v>
      </c>
      <c r="G91" s="4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 s="19">
        <v>50741</v>
      </c>
      <c r="F92" s="2">
        <v>42638</v>
      </c>
      <c r="G92" s="4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19">
        <v>69420</v>
      </c>
      <c r="F93" s="2">
        <v>42645</v>
      </c>
      <c r="G93" s="4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 s="19">
        <v>80588</v>
      </c>
      <c r="F94" s="2">
        <v>42652</v>
      </c>
      <c r="G94" s="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 s="19">
        <v>76238</v>
      </c>
      <c r="F95" s="2">
        <v>42659</v>
      </c>
      <c r="G95" s="4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19">
        <v>33264</v>
      </c>
      <c r="F96" s="2">
        <v>42666</v>
      </c>
      <c r="G96" s="4"/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19">
        <v>96101</v>
      </c>
      <c r="F97" s="2">
        <v>42673</v>
      </c>
      <c r="G97" s="4"/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19">
        <v>72939</v>
      </c>
      <c r="F98" s="2">
        <v>42680</v>
      </c>
      <c r="G98" s="4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19">
        <v>89333</v>
      </c>
      <c r="F99" s="2">
        <v>42687</v>
      </c>
      <c r="G99" s="4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19">
        <v>70470</v>
      </c>
      <c r="F100" s="2">
        <v>42694</v>
      </c>
      <c r="G100" s="4"/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19">
        <v>70096</v>
      </c>
      <c r="F101" s="2">
        <v>42701</v>
      </c>
      <c r="G101" s="4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19" t="s">
        <v>177</v>
      </c>
      <c r="F102" s="2">
        <v>42708</v>
      </c>
      <c r="G102" s="4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19">
        <v>66503</v>
      </c>
      <c r="F103" s="2">
        <v>42715</v>
      </c>
      <c r="G103" s="4"/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19">
        <v>42096</v>
      </c>
      <c r="F104" s="2">
        <v>42722</v>
      </c>
      <c r="G104" s="4"/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 s="19">
        <v>79145</v>
      </c>
      <c r="F105" s="2">
        <v>42729</v>
      </c>
      <c r="G105" s="4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 s="19">
        <v>61556</v>
      </c>
      <c r="F106" s="2">
        <v>42736</v>
      </c>
      <c r="G106" s="4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 s="19">
        <v>87963</v>
      </c>
      <c r="F107" s="2">
        <v>42743</v>
      </c>
      <c r="G107" s="4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 s="19">
        <v>48325</v>
      </c>
      <c r="F108" s="2">
        <v>42750</v>
      </c>
      <c r="G108" s="4"/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19">
        <v>86412</v>
      </c>
      <c r="F109" s="2">
        <v>42757</v>
      </c>
      <c r="G109" s="4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 s="19">
        <v>66761</v>
      </c>
      <c r="F110" s="2">
        <v>42764</v>
      </c>
      <c r="G110" s="4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 s="19">
        <v>88850</v>
      </c>
      <c r="F111" s="2">
        <v>42771</v>
      </c>
      <c r="G111" s="4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19">
        <v>31293</v>
      </c>
      <c r="G112" s="4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19">
        <v>34306</v>
      </c>
      <c r="F113" s="2">
        <v>42785</v>
      </c>
      <c r="G113" s="4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19">
        <v>78330</v>
      </c>
      <c r="F114" s="2">
        <v>42792</v>
      </c>
      <c r="G114" s="4"/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19">
        <v>47653</v>
      </c>
      <c r="F115" s="2">
        <v>42799</v>
      </c>
      <c r="G115" s="4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19">
        <v>44627</v>
      </c>
      <c r="F116" s="2">
        <v>42806</v>
      </c>
      <c r="G116" s="4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19">
        <v>92343</v>
      </c>
      <c r="F117" s="2">
        <v>42813</v>
      </c>
      <c r="G117" s="4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19">
        <v>38837</v>
      </c>
      <c r="F118" s="2">
        <v>42820</v>
      </c>
      <c r="G118" s="4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 s="19">
        <v>73483</v>
      </c>
      <c r="F119" s="2">
        <v>42827</v>
      </c>
      <c r="G119" s="4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19">
        <v>95032</v>
      </c>
      <c r="F120" s="2">
        <v>42834</v>
      </c>
      <c r="G120" s="4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19">
        <v>44358</v>
      </c>
      <c r="F121" s="2">
        <v>42841</v>
      </c>
      <c r="G121" s="4"/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s="19" t="s">
        <v>177</v>
      </c>
      <c r="G122" s="4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19">
        <v>45676</v>
      </c>
      <c r="F123" s="2">
        <v>42855</v>
      </c>
      <c r="G123" s="4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19">
        <v>52036</v>
      </c>
      <c r="F124" s="2">
        <v>42862</v>
      </c>
      <c r="G124" s="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 s="19">
        <v>30357</v>
      </c>
      <c r="F125" s="2">
        <v>42869</v>
      </c>
      <c r="G125" s="4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 s="19">
        <v>60034</v>
      </c>
      <c r="F126" s="2">
        <v>42876</v>
      </c>
      <c r="G126" s="4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19">
        <v>90019</v>
      </c>
      <c r="F127" s="2">
        <v>42883</v>
      </c>
      <c r="G127" s="4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 s="19">
        <v>71494</v>
      </c>
      <c r="F128" s="2">
        <v>42890</v>
      </c>
      <c r="G128" s="4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19">
        <v>91953</v>
      </c>
      <c r="F129" s="2">
        <v>42897</v>
      </c>
      <c r="G129" s="4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19">
        <v>30402</v>
      </c>
      <c r="F130" s="2">
        <v>42904</v>
      </c>
      <c r="G130" s="4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 s="19">
        <v>62994</v>
      </c>
      <c r="F131" s="2">
        <v>42911</v>
      </c>
      <c r="G131" s="4"/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19">
        <v>48289</v>
      </c>
      <c r="G132" s="4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19">
        <v>34402</v>
      </c>
      <c r="F133" s="2">
        <v>42925</v>
      </c>
      <c r="G133" s="4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19">
        <v>38678</v>
      </c>
      <c r="F134" s="2">
        <v>42932</v>
      </c>
      <c r="G134" s="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19">
        <v>45758</v>
      </c>
      <c r="F135" s="2">
        <v>42939</v>
      </c>
      <c r="G135" s="4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19">
        <v>62476</v>
      </c>
      <c r="F136" s="2">
        <v>42946</v>
      </c>
      <c r="G136" s="4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 s="19">
        <v>39280</v>
      </c>
      <c r="F137" s="2">
        <v>42953</v>
      </c>
      <c r="G137" s="4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19">
        <v>60335</v>
      </c>
      <c r="F138" s="2">
        <v>42960</v>
      </c>
      <c r="G138" s="4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19">
        <v>84968</v>
      </c>
      <c r="F139" s="2">
        <v>42967</v>
      </c>
      <c r="G139" s="4"/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19">
        <v>84750</v>
      </c>
      <c r="F140" s="2">
        <v>42974</v>
      </c>
      <c r="G140" s="4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 s="19">
        <v>73348</v>
      </c>
      <c r="F141" s="2">
        <v>42981</v>
      </c>
      <c r="G141" s="4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19" t="s">
        <v>177</v>
      </c>
      <c r="F142" s="2">
        <v>42988</v>
      </c>
      <c r="G142" s="4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19">
        <v>66882</v>
      </c>
      <c r="F143" s="2">
        <v>42995</v>
      </c>
      <c r="G143" s="4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 s="19">
        <v>86775</v>
      </c>
      <c r="F144" s="2">
        <v>43002</v>
      </c>
      <c r="G144" s="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19">
        <v>91620</v>
      </c>
      <c r="F145" s="2">
        <v>43009</v>
      </c>
      <c r="G145" s="4"/>
      <c r="I145" t="s">
        <v>184</v>
      </c>
    </row>
    <row r="146" spans="1:9" x14ac:dyDescent="0.3">
      <c r="A146" t="s">
        <v>153</v>
      </c>
      <c r="B146" t="s">
        <v>159</v>
      </c>
      <c r="E146" s="19">
        <v>94148</v>
      </c>
      <c r="F146" s="2">
        <v>43016</v>
      </c>
      <c r="G146" s="4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19">
        <v>35627</v>
      </c>
      <c r="F147" s="2">
        <v>43023</v>
      </c>
      <c r="G147" s="4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19">
        <v>57141</v>
      </c>
      <c r="F148" s="2">
        <v>43030</v>
      </c>
      <c r="G148" s="4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19">
        <v>65270</v>
      </c>
      <c r="F149" s="2">
        <v>43037</v>
      </c>
      <c r="G149" s="4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 s="19">
        <v>67335</v>
      </c>
      <c r="F150" s="2">
        <v>43044</v>
      </c>
      <c r="G150" s="4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19">
        <v>98475</v>
      </c>
      <c r="F151" s="2">
        <v>43051</v>
      </c>
      <c r="G151" s="4">
        <v>5</v>
      </c>
      <c r="H151" t="s">
        <v>179</v>
      </c>
      <c r="I151" t="s">
        <v>184</v>
      </c>
    </row>
    <row r="152" spans="1:9" x14ac:dyDescent="0.3">
      <c r="G15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2E60-0398-4477-A982-C3C993C4A160}">
  <dimension ref="A1:P157"/>
  <sheetViews>
    <sheetView zoomScaleNormal="100" workbookViewId="0">
      <selection activeCell="J8" sqref="J8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10.4414062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  <col min="11" max="11" width="18" bestFit="1" customWidth="1"/>
    <col min="12" max="12" width="15.5546875" customWidth="1"/>
    <col min="13" max="13" width="13.109375" customWidth="1"/>
    <col min="14" max="14" width="9.21875" customWidth="1"/>
    <col min="15" max="15" width="10.44140625" bestFit="1" customWidth="1"/>
  </cols>
  <sheetData>
    <row r="1" spans="1:16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5" t="s">
        <v>7</v>
      </c>
      <c r="I1" s="5" t="s">
        <v>8</v>
      </c>
    </row>
    <row r="2" spans="1:16" ht="15" thickBot="1" x14ac:dyDescent="0.35">
      <c r="A2" t="s">
        <v>9</v>
      </c>
      <c r="C2" t="s">
        <v>166</v>
      </c>
      <c r="D2" t="s">
        <v>171</v>
      </c>
      <c r="E2" s="19" t="s">
        <v>177</v>
      </c>
      <c r="G2" s="9">
        <v>2</v>
      </c>
      <c r="H2" t="s">
        <v>178</v>
      </c>
      <c r="I2" t="s">
        <v>182</v>
      </c>
      <c r="K2" s="13" t="s">
        <v>201</v>
      </c>
      <c r="L2" s="12" t="s">
        <v>196</v>
      </c>
      <c r="M2" s="12" t="s">
        <v>197</v>
      </c>
      <c r="N2" s="12" t="s">
        <v>198</v>
      </c>
      <c r="O2" s="17" t="s">
        <v>200</v>
      </c>
      <c r="P2" s="17" t="s">
        <v>199</v>
      </c>
    </row>
    <row r="3" spans="1:16" ht="15" thickBot="1" x14ac:dyDescent="0.35">
      <c r="A3" t="s">
        <v>10</v>
      </c>
      <c r="B3" t="s">
        <v>159</v>
      </c>
      <c r="C3" t="s">
        <v>167</v>
      </c>
      <c r="D3" t="s">
        <v>172</v>
      </c>
      <c r="E3" s="19">
        <v>54255</v>
      </c>
      <c r="F3" s="2">
        <v>42015</v>
      </c>
      <c r="G3" s="4">
        <v>1</v>
      </c>
      <c r="H3" t="s">
        <v>179</v>
      </c>
      <c r="I3" t="s">
        <v>183</v>
      </c>
      <c r="K3" s="13" t="s">
        <v>4</v>
      </c>
      <c r="L3" s="18">
        <f>SUM(E2:E151)</f>
        <v>9411892</v>
      </c>
      <c r="M3" s="18">
        <f>AVERAGE(E2:E151)</f>
        <v>66280.929577464791</v>
      </c>
      <c r="N3" s="16">
        <f>COUNT(E2:E151)</f>
        <v>142</v>
      </c>
      <c r="O3" s="18">
        <f>MIN(E2:E151)</f>
        <v>30280</v>
      </c>
      <c r="P3" s="18">
        <f>MAX(E2:E151)</f>
        <v>99621</v>
      </c>
    </row>
    <row r="4" spans="1:16" ht="15" thickBot="1" x14ac:dyDescent="0.35">
      <c r="A4" t="s">
        <v>11</v>
      </c>
      <c r="B4" t="s">
        <v>160</v>
      </c>
      <c r="C4" t="s">
        <v>166</v>
      </c>
      <c r="D4" t="s">
        <v>172</v>
      </c>
      <c r="E4" s="19">
        <v>63184</v>
      </c>
      <c r="F4" s="2">
        <v>42022</v>
      </c>
      <c r="G4" s="4">
        <v>2</v>
      </c>
      <c r="I4" t="s">
        <v>184</v>
      </c>
      <c r="K4" s="13" t="s">
        <v>6</v>
      </c>
      <c r="L4" s="14">
        <f>SUM(G2:G151)</f>
        <v>359</v>
      </c>
      <c r="M4" s="14">
        <f>AVERAGE(G2:G151)</f>
        <v>2.8719999999999999</v>
      </c>
      <c r="N4" s="15">
        <f>COUNT(G2:G151)</f>
        <v>125</v>
      </c>
      <c r="O4" s="14">
        <f>MIN(G2:G151)</f>
        <v>1</v>
      </c>
      <c r="P4" s="14">
        <f>MAX(G2:G151)</f>
        <v>5</v>
      </c>
    </row>
    <row r="5" spans="1:16" x14ac:dyDescent="0.3">
      <c r="A5" t="s">
        <v>12</v>
      </c>
      <c r="B5" t="s">
        <v>161</v>
      </c>
      <c r="C5" t="s">
        <v>168</v>
      </c>
      <c r="D5" t="s">
        <v>173</v>
      </c>
      <c r="E5" s="19">
        <v>94406</v>
      </c>
      <c r="F5" s="2">
        <v>42029</v>
      </c>
      <c r="G5" s="4">
        <v>1</v>
      </c>
      <c r="H5" t="s">
        <v>180</v>
      </c>
      <c r="I5" t="s">
        <v>184</v>
      </c>
    </row>
    <row r="6" spans="1:16" x14ac:dyDescent="0.3">
      <c r="A6" t="s">
        <v>13</v>
      </c>
      <c r="B6" t="s">
        <v>162</v>
      </c>
      <c r="C6" t="s">
        <v>168</v>
      </c>
      <c r="D6" t="s">
        <v>172</v>
      </c>
      <c r="E6" s="19">
        <v>64120</v>
      </c>
      <c r="F6" s="2">
        <v>42036</v>
      </c>
      <c r="G6" s="4">
        <v>1</v>
      </c>
      <c r="H6" t="s">
        <v>180</v>
      </c>
      <c r="I6" t="s">
        <v>184</v>
      </c>
      <c r="L6" s="11"/>
    </row>
    <row r="7" spans="1:16" x14ac:dyDescent="0.3">
      <c r="A7" t="s">
        <v>14</v>
      </c>
      <c r="B7" t="s">
        <v>160</v>
      </c>
      <c r="C7" t="s">
        <v>169</v>
      </c>
      <c r="D7" t="s">
        <v>174</v>
      </c>
      <c r="E7" s="19">
        <v>78421</v>
      </c>
      <c r="F7" s="2">
        <v>42043</v>
      </c>
      <c r="G7" s="4">
        <v>2</v>
      </c>
      <c r="H7" t="s">
        <v>181</v>
      </c>
      <c r="I7" t="s">
        <v>184</v>
      </c>
      <c r="L7" s="11"/>
    </row>
    <row r="8" spans="1:16" x14ac:dyDescent="0.3">
      <c r="A8" t="s">
        <v>15</v>
      </c>
      <c r="B8" t="s">
        <v>163</v>
      </c>
      <c r="C8" t="s">
        <v>168</v>
      </c>
      <c r="E8" s="19">
        <v>67721</v>
      </c>
      <c r="F8" s="2">
        <v>42050</v>
      </c>
      <c r="G8" s="4"/>
      <c r="H8" t="s">
        <v>180</v>
      </c>
      <c r="I8" t="s">
        <v>184</v>
      </c>
    </row>
    <row r="9" spans="1:16" x14ac:dyDescent="0.3">
      <c r="A9" t="s">
        <v>16</v>
      </c>
      <c r="B9" t="s">
        <v>164</v>
      </c>
      <c r="C9" t="s">
        <v>170</v>
      </c>
      <c r="E9" s="19">
        <v>35364</v>
      </c>
      <c r="F9" s="2">
        <v>42057</v>
      </c>
      <c r="G9" s="4">
        <v>2</v>
      </c>
      <c r="H9" t="s">
        <v>179</v>
      </c>
      <c r="I9" t="s">
        <v>184</v>
      </c>
    </row>
    <row r="10" spans="1:16" x14ac:dyDescent="0.3">
      <c r="A10" t="s">
        <v>17</v>
      </c>
      <c r="B10" t="s">
        <v>160</v>
      </c>
      <c r="C10" t="s">
        <v>169</v>
      </c>
      <c r="D10" t="s">
        <v>172</v>
      </c>
      <c r="E10" s="19">
        <v>97881</v>
      </c>
      <c r="F10" s="2">
        <v>42064</v>
      </c>
      <c r="G10" s="4"/>
      <c r="H10" t="s">
        <v>181</v>
      </c>
      <c r="I10" t="s">
        <v>184</v>
      </c>
    </row>
    <row r="11" spans="1:16" x14ac:dyDescent="0.3">
      <c r="A11" t="s">
        <v>18</v>
      </c>
      <c r="B11" t="s">
        <v>164</v>
      </c>
      <c r="C11" t="s">
        <v>167</v>
      </c>
      <c r="D11" t="s">
        <v>175</v>
      </c>
      <c r="E11" s="19">
        <v>91846</v>
      </c>
      <c r="F11" s="2">
        <v>42071</v>
      </c>
      <c r="G11" s="4"/>
      <c r="H11" t="s">
        <v>180</v>
      </c>
      <c r="I11" t="s">
        <v>184</v>
      </c>
    </row>
    <row r="12" spans="1:16" x14ac:dyDescent="0.3">
      <c r="A12" t="s">
        <v>19</v>
      </c>
      <c r="B12" t="s">
        <v>163</v>
      </c>
      <c r="C12" t="s">
        <v>166</v>
      </c>
      <c r="D12" t="s">
        <v>175</v>
      </c>
      <c r="E12" s="19">
        <v>64247</v>
      </c>
      <c r="F12" s="2">
        <v>42078</v>
      </c>
      <c r="G12" s="10">
        <v>1</v>
      </c>
      <c r="H12" t="s">
        <v>181</v>
      </c>
      <c r="I12" t="s">
        <v>184</v>
      </c>
    </row>
    <row r="13" spans="1:16" x14ac:dyDescent="0.3">
      <c r="A13" t="s">
        <v>20</v>
      </c>
      <c r="B13" t="s">
        <v>163</v>
      </c>
      <c r="C13" t="s">
        <v>169</v>
      </c>
      <c r="D13" t="s">
        <v>173</v>
      </c>
      <c r="E13" s="19">
        <v>91180</v>
      </c>
      <c r="F13" s="2">
        <v>42085</v>
      </c>
      <c r="G13" s="4">
        <v>5</v>
      </c>
      <c r="H13" t="s">
        <v>180</v>
      </c>
      <c r="I13" t="s">
        <v>184</v>
      </c>
    </row>
    <row r="14" spans="1:16" x14ac:dyDescent="0.3">
      <c r="A14" t="s">
        <v>21</v>
      </c>
      <c r="B14" t="s">
        <v>165</v>
      </c>
      <c r="C14" t="s">
        <v>168</v>
      </c>
      <c r="E14" s="19">
        <v>96418</v>
      </c>
      <c r="F14" s="2">
        <v>42092</v>
      </c>
      <c r="G14" s="4">
        <v>5</v>
      </c>
      <c r="H14" t="s">
        <v>180</v>
      </c>
      <c r="I14" t="s">
        <v>184</v>
      </c>
    </row>
    <row r="15" spans="1:16" x14ac:dyDescent="0.3">
      <c r="A15" t="s">
        <v>22</v>
      </c>
      <c r="B15" t="s">
        <v>163</v>
      </c>
      <c r="D15" t="s">
        <v>174</v>
      </c>
      <c r="E15" s="19">
        <v>62158</v>
      </c>
      <c r="F15" s="2">
        <v>42099</v>
      </c>
      <c r="G15" s="4">
        <v>4</v>
      </c>
      <c r="I15" t="s">
        <v>184</v>
      </c>
    </row>
    <row r="16" spans="1:16" x14ac:dyDescent="0.3">
      <c r="A16" t="s">
        <v>23</v>
      </c>
      <c r="B16" t="s">
        <v>162</v>
      </c>
      <c r="C16" t="s">
        <v>167</v>
      </c>
      <c r="E16" s="19">
        <v>59894</v>
      </c>
      <c r="F16" s="2">
        <v>42106</v>
      </c>
      <c r="G16" s="4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 s="19">
        <v>92443</v>
      </c>
      <c r="F17" s="2">
        <v>42113</v>
      </c>
      <c r="G17" s="4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 s="19">
        <v>90271</v>
      </c>
      <c r="F18" s="2">
        <v>42120</v>
      </c>
      <c r="G18" s="4"/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19">
        <v>41341</v>
      </c>
      <c r="F19" s="2">
        <v>42127</v>
      </c>
      <c r="G19" s="4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19">
        <v>73602</v>
      </c>
      <c r="F20" s="2">
        <v>42134</v>
      </c>
      <c r="G20" s="4"/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 s="19">
        <v>67531</v>
      </c>
      <c r="F21" s="2">
        <v>42141</v>
      </c>
      <c r="G21" s="4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19" t="s">
        <v>177</v>
      </c>
      <c r="F22" s="2">
        <v>42148</v>
      </c>
      <c r="G22" s="4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 s="19">
        <v>98922</v>
      </c>
      <c r="F23" s="2">
        <v>42155</v>
      </c>
      <c r="G23" s="4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19">
        <v>38333</v>
      </c>
      <c r="F24" s="2">
        <v>42162</v>
      </c>
      <c r="G24" s="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19">
        <v>36515</v>
      </c>
      <c r="F25" s="2">
        <v>42169</v>
      </c>
      <c r="G25" s="4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 s="19">
        <v>91005</v>
      </c>
      <c r="F26" s="2">
        <v>42176</v>
      </c>
      <c r="G26" s="4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 s="19">
        <v>52272</v>
      </c>
      <c r="F27" s="2">
        <v>42183</v>
      </c>
      <c r="G27" s="4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19">
        <v>76518</v>
      </c>
      <c r="F28" s="2">
        <v>42190</v>
      </c>
      <c r="G28" s="4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19">
        <v>41448</v>
      </c>
      <c r="F29" s="2">
        <v>42197</v>
      </c>
      <c r="G29" s="4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19">
        <v>49282</v>
      </c>
      <c r="F30" s="2">
        <v>42204</v>
      </c>
      <c r="G30" s="4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19">
        <v>92959</v>
      </c>
      <c r="F31" s="2">
        <v>42211</v>
      </c>
      <c r="G31" s="4">
        <v>5</v>
      </c>
      <c r="I31" t="s">
        <v>184</v>
      </c>
    </row>
    <row r="32" spans="1:9" x14ac:dyDescent="0.3">
      <c r="A32" t="s">
        <v>39</v>
      </c>
      <c r="C32" t="s">
        <v>170</v>
      </c>
      <c r="E32" s="19">
        <v>92259</v>
      </c>
      <c r="G32" s="4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19">
        <v>92299</v>
      </c>
      <c r="F33" s="2">
        <v>42225</v>
      </c>
      <c r="G33" s="4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 s="19">
        <v>95586</v>
      </c>
      <c r="F34" s="2">
        <v>42232</v>
      </c>
      <c r="G34" s="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 s="19">
        <v>95367</v>
      </c>
      <c r="F35" s="2">
        <v>42239</v>
      </c>
      <c r="G35" s="4"/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19">
        <v>79549</v>
      </c>
      <c r="F36" s="2">
        <v>42246</v>
      </c>
      <c r="G36" s="4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 s="19">
        <v>54463</v>
      </c>
      <c r="F37" s="2">
        <v>42253</v>
      </c>
      <c r="G37" s="4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19">
        <v>89781</v>
      </c>
      <c r="F38" s="2">
        <v>42260</v>
      </c>
      <c r="G38" s="4"/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 s="19">
        <v>64796</v>
      </c>
      <c r="F39" s="2">
        <v>42267</v>
      </c>
      <c r="G39" s="4"/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19">
        <v>52093</v>
      </c>
      <c r="F40" s="2">
        <v>42274</v>
      </c>
      <c r="G40" s="4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19">
        <v>48224</v>
      </c>
      <c r="F41" s="2">
        <v>42281</v>
      </c>
      <c r="G41" s="4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19" t="s">
        <v>177</v>
      </c>
      <c r="G42" s="4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19">
        <v>33956</v>
      </c>
      <c r="F43" s="2">
        <v>42295</v>
      </c>
      <c r="G43" s="4"/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 s="19">
        <v>64913</v>
      </c>
      <c r="F44" s="2">
        <v>42302</v>
      </c>
      <c r="G44" s="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19">
        <v>35326</v>
      </c>
      <c r="F45" s="2">
        <v>42309</v>
      </c>
      <c r="G45" s="4"/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 s="19">
        <v>81610</v>
      </c>
      <c r="F46" s="2">
        <v>42316</v>
      </c>
      <c r="G46" s="4">
        <v>1</v>
      </c>
      <c r="I46" t="s">
        <v>184</v>
      </c>
    </row>
    <row r="47" spans="1:9" x14ac:dyDescent="0.3">
      <c r="A47" t="s">
        <v>54</v>
      </c>
      <c r="C47" t="s">
        <v>167</v>
      </c>
      <c r="E47" s="19">
        <v>58962</v>
      </c>
      <c r="F47" s="2">
        <v>42323</v>
      </c>
      <c r="G47" s="4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19">
        <v>92701</v>
      </c>
      <c r="F48" s="2">
        <v>42330</v>
      </c>
      <c r="G48" s="4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19">
        <v>58245</v>
      </c>
      <c r="F49" s="2">
        <v>42337</v>
      </c>
      <c r="G49" s="4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 s="19">
        <v>66513</v>
      </c>
      <c r="F50" s="2">
        <v>42344</v>
      </c>
      <c r="G50" s="4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19">
        <v>78720</v>
      </c>
      <c r="F51" s="2">
        <v>42351</v>
      </c>
      <c r="G51" s="4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 s="19">
        <v>30686</v>
      </c>
      <c r="G52" s="4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19">
        <v>39423</v>
      </c>
      <c r="F53" s="2">
        <v>42365</v>
      </c>
      <c r="G53" s="4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 s="19">
        <v>30280</v>
      </c>
      <c r="F54" s="2">
        <v>42372</v>
      </c>
      <c r="G54" s="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19">
        <v>33352</v>
      </c>
      <c r="F55" s="2">
        <v>42379</v>
      </c>
      <c r="G55" s="4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19">
        <v>75633</v>
      </c>
      <c r="F56" s="2">
        <v>42386</v>
      </c>
      <c r="G56" s="4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 s="19">
        <v>74815</v>
      </c>
      <c r="F57" s="2">
        <v>42393</v>
      </c>
      <c r="G57" s="4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19">
        <v>60011</v>
      </c>
      <c r="F58" s="2">
        <v>42400</v>
      </c>
      <c r="G58" s="4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 s="19">
        <v>96949</v>
      </c>
      <c r="F59" s="2">
        <v>42407</v>
      </c>
      <c r="G59" s="4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 s="19">
        <v>84924</v>
      </c>
      <c r="F60" s="2">
        <v>42414</v>
      </c>
      <c r="G60" s="4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19">
        <v>82033</v>
      </c>
      <c r="F61" s="2">
        <v>42421</v>
      </c>
      <c r="G61" s="4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s="19" t="s">
        <v>177</v>
      </c>
      <c r="G62" s="4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 s="19">
        <v>31499</v>
      </c>
      <c r="F63" s="2">
        <v>42435</v>
      </c>
      <c r="G63" s="4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19">
        <v>97981</v>
      </c>
      <c r="F64" s="2">
        <v>42442</v>
      </c>
      <c r="G64" s="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19">
        <v>36541</v>
      </c>
      <c r="F65" s="2">
        <v>42449</v>
      </c>
      <c r="G65" s="4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19">
        <v>84737</v>
      </c>
      <c r="F66" s="2">
        <v>42456</v>
      </c>
      <c r="G66" s="4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19">
        <v>33468</v>
      </c>
      <c r="F67" s="2">
        <v>42463</v>
      </c>
      <c r="G67" s="4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 s="19">
        <v>96365</v>
      </c>
      <c r="F68" s="2">
        <v>42470</v>
      </c>
      <c r="G68" s="4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19">
        <v>61942</v>
      </c>
      <c r="F69" s="2">
        <v>42477</v>
      </c>
      <c r="G69" s="4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19">
        <v>41467</v>
      </c>
      <c r="F70" s="2">
        <v>42484</v>
      </c>
      <c r="G70" s="4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19">
        <v>77096</v>
      </c>
      <c r="F71" s="2">
        <v>42491</v>
      </c>
      <c r="G71" s="4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19">
        <v>69952</v>
      </c>
      <c r="F72" s="2">
        <v>42498</v>
      </c>
      <c r="G72" s="4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19">
        <v>85065</v>
      </c>
      <c r="F73" s="2">
        <v>42505</v>
      </c>
      <c r="G73" s="4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19">
        <v>56512</v>
      </c>
      <c r="F74" s="2">
        <v>42512</v>
      </c>
      <c r="G74" s="4"/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19">
        <v>91101</v>
      </c>
      <c r="F75" s="2">
        <v>42519</v>
      </c>
      <c r="G75" s="4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 s="19">
        <v>41243</v>
      </c>
      <c r="F76" s="2">
        <v>42526</v>
      </c>
      <c r="G76" s="4"/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 s="19">
        <v>96142</v>
      </c>
      <c r="F77" s="2">
        <v>42533</v>
      </c>
      <c r="G77" s="4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19">
        <v>94301</v>
      </c>
      <c r="F78" s="2">
        <v>42540</v>
      </c>
      <c r="G78" s="4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 s="19">
        <v>69166</v>
      </c>
      <c r="F79" s="2">
        <v>42547</v>
      </c>
      <c r="G79" s="4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 s="19">
        <v>78245</v>
      </c>
      <c r="F80" s="2">
        <v>42554</v>
      </c>
      <c r="G80" s="4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19">
        <v>66079</v>
      </c>
      <c r="F81" s="2">
        <v>42561</v>
      </c>
      <c r="G81" s="4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19" t="s">
        <v>177</v>
      </c>
      <c r="G82" s="4"/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19">
        <v>95621</v>
      </c>
      <c r="F83" s="2">
        <v>42575</v>
      </c>
      <c r="G83" s="4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19">
        <v>42262</v>
      </c>
      <c r="F84" s="2">
        <v>42582</v>
      </c>
      <c r="G84" s="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19">
        <v>99621</v>
      </c>
      <c r="F85" s="2">
        <v>42589</v>
      </c>
      <c r="G85" s="4"/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19">
        <v>44682</v>
      </c>
      <c r="F86" s="2">
        <v>42596</v>
      </c>
      <c r="G86" s="4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 s="19">
        <v>35163</v>
      </c>
      <c r="F87" s="2">
        <v>42603</v>
      </c>
      <c r="G87" s="4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19">
        <v>33483</v>
      </c>
      <c r="F88" s="2">
        <v>42610</v>
      </c>
      <c r="G88" s="4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19">
        <v>55303</v>
      </c>
      <c r="F89" s="2">
        <v>42617</v>
      </c>
      <c r="G89" s="4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 s="19">
        <v>63434</v>
      </c>
      <c r="F90" s="2">
        <v>42624</v>
      </c>
      <c r="G90" s="4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 s="19">
        <v>38830</v>
      </c>
      <c r="F91" s="2">
        <v>42631</v>
      </c>
      <c r="G91" s="4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 s="19">
        <v>50741</v>
      </c>
      <c r="F92" s="2">
        <v>42638</v>
      </c>
      <c r="G92" s="4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19">
        <v>69420</v>
      </c>
      <c r="F93" s="2">
        <v>42645</v>
      </c>
      <c r="G93" s="4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 s="19">
        <v>80588</v>
      </c>
      <c r="F94" s="2">
        <v>42652</v>
      </c>
      <c r="G94" s="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 s="19">
        <v>76238</v>
      </c>
      <c r="F95" s="2">
        <v>42659</v>
      </c>
      <c r="G95" s="4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19">
        <v>33264</v>
      </c>
      <c r="F96" s="2">
        <v>42666</v>
      </c>
      <c r="G96" s="4"/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19">
        <v>96101</v>
      </c>
      <c r="F97" s="2">
        <v>42673</v>
      </c>
      <c r="G97" s="4"/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19">
        <v>72939</v>
      </c>
      <c r="F98" s="2">
        <v>42680</v>
      </c>
      <c r="G98" s="4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19">
        <v>89333</v>
      </c>
      <c r="F99" s="2">
        <v>42687</v>
      </c>
      <c r="G99" s="4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19">
        <v>70470</v>
      </c>
      <c r="F100" s="2">
        <v>42694</v>
      </c>
      <c r="G100" s="4"/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19">
        <v>70096</v>
      </c>
      <c r="F101" s="2">
        <v>42701</v>
      </c>
      <c r="G101" s="4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19" t="s">
        <v>177</v>
      </c>
      <c r="F102" s="2">
        <v>42708</v>
      </c>
      <c r="G102" s="4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19">
        <v>66503</v>
      </c>
      <c r="F103" s="2">
        <v>42715</v>
      </c>
      <c r="G103" s="4"/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19">
        <v>42096</v>
      </c>
      <c r="F104" s="2">
        <v>42722</v>
      </c>
      <c r="G104" s="4"/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 s="19">
        <v>79145</v>
      </c>
      <c r="F105" s="2">
        <v>42729</v>
      </c>
      <c r="G105" s="4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 s="19">
        <v>61556</v>
      </c>
      <c r="F106" s="2">
        <v>42736</v>
      </c>
      <c r="G106" s="4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 s="19">
        <v>87963</v>
      </c>
      <c r="F107" s="2">
        <v>42743</v>
      </c>
      <c r="G107" s="4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 s="19">
        <v>48325</v>
      </c>
      <c r="F108" s="2">
        <v>42750</v>
      </c>
      <c r="G108" s="4"/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19">
        <v>86412</v>
      </c>
      <c r="F109" s="2">
        <v>42757</v>
      </c>
      <c r="G109" s="4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 s="19">
        <v>66761</v>
      </c>
      <c r="F110" s="2">
        <v>42764</v>
      </c>
      <c r="G110" s="4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 s="19">
        <v>88850</v>
      </c>
      <c r="F111" s="2">
        <v>42771</v>
      </c>
      <c r="G111" s="4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19">
        <v>31293</v>
      </c>
      <c r="G112" s="4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19">
        <v>34306</v>
      </c>
      <c r="F113" s="2">
        <v>42785</v>
      </c>
      <c r="G113" s="4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19">
        <v>78330</v>
      </c>
      <c r="F114" s="2">
        <v>42792</v>
      </c>
      <c r="G114" s="4"/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19">
        <v>47653</v>
      </c>
      <c r="F115" s="2">
        <v>42799</v>
      </c>
      <c r="G115" s="4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19">
        <v>44627</v>
      </c>
      <c r="F116" s="2">
        <v>42806</v>
      </c>
      <c r="G116" s="4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19">
        <v>92343</v>
      </c>
      <c r="F117" s="2">
        <v>42813</v>
      </c>
      <c r="G117" s="4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19">
        <v>38837</v>
      </c>
      <c r="F118" s="2">
        <v>42820</v>
      </c>
      <c r="G118" s="4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 s="19">
        <v>73483</v>
      </c>
      <c r="F119" s="2">
        <v>42827</v>
      </c>
      <c r="G119" s="4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19">
        <v>95032</v>
      </c>
      <c r="F120" s="2">
        <v>42834</v>
      </c>
      <c r="G120" s="4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19">
        <v>44358</v>
      </c>
      <c r="F121" s="2">
        <v>42841</v>
      </c>
      <c r="G121" s="4"/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s="19" t="s">
        <v>177</v>
      </c>
      <c r="G122" s="4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19">
        <v>45676</v>
      </c>
      <c r="F123" s="2">
        <v>42855</v>
      </c>
      <c r="G123" s="4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19">
        <v>52036</v>
      </c>
      <c r="F124" s="2">
        <v>42862</v>
      </c>
      <c r="G124" s="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 s="19">
        <v>30357</v>
      </c>
      <c r="F125" s="2">
        <v>42869</v>
      </c>
      <c r="G125" s="4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 s="19">
        <v>60034</v>
      </c>
      <c r="F126" s="2">
        <v>42876</v>
      </c>
      <c r="G126" s="4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19">
        <v>90019</v>
      </c>
      <c r="F127" s="2">
        <v>42883</v>
      </c>
      <c r="G127" s="4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 s="19">
        <v>71494</v>
      </c>
      <c r="F128" s="2">
        <v>42890</v>
      </c>
      <c r="G128" s="4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19">
        <v>91953</v>
      </c>
      <c r="F129" s="2">
        <v>42897</v>
      </c>
      <c r="G129" s="4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19">
        <v>30402</v>
      </c>
      <c r="F130" s="2">
        <v>42904</v>
      </c>
      <c r="G130" s="4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 s="19">
        <v>62994</v>
      </c>
      <c r="F131" s="2">
        <v>42911</v>
      </c>
      <c r="G131" s="4"/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19">
        <v>48289</v>
      </c>
      <c r="G132" s="4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19">
        <v>34402</v>
      </c>
      <c r="F133" s="2">
        <v>42925</v>
      </c>
      <c r="G133" s="4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19">
        <v>38678</v>
      </c>
      <c r="F134" s="2">
        <v>42932</v>
      </c>
      <c r="G134" s="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19">
        <v>45758</v>
      </c>
      <c r="F135" s="2">
        <v>42939</v>
      </c>
      <c r="G135" s="4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19">
        <v>62476</v>
      </c>
      <c r="F136" s="2">
        <v>42946</v>
      </c>
      <c r="G136" s="4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 s="19">
        <v>39280</v>
      </c>
      <c r="F137" s="2">
        <v>42953</v>
      </c>
      <c r="G137" s="4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19">
        <v>60335</v>
      </c>
      <c r="F138" s="2">
        <v>42960</v>
      </c>
      <c r="G138" s="4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19">
        <v>84968</v>
      </c>
      <c r="F139" s="2">
        <v>42967</v>
      </c>
      <c r="G139" s="4"/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19">
        <v>84750</v>
      </c>
      <c r="F140" s="2">
        <v>42974</v>
      </c>
      <c r="G140" s="4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 s="19">
        <v>73348</v>
      </c>
      <c r="F141" s="2">
        <v>42981</v>
      </c>
      <c r="G141" s="4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19" t="s">
        <v>177</v>
      </c>
      <c r="F142" s="2">
        <v>42988</v>
      </c>
      <c r="G142" s="4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19">
        <v>66882</v>
      </c>
      <c r="F143" s="2">
        <v>42995</v>
      </c>
      <c r="G143" s="4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 s="19">
        <v>86775</v>
      </c>
      <c r="F144" s="2">
        <v>43002</v>
      </c>
      <c r="G144" s="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19">
        <v>91620</v>
      </c>
      <c r="F145" s="2">
        <v>43009</v>
      </c>
      <c r="G145" s="4"/>
      <c r="I145" t="s">
        <v>184</v>
      </c>
    </row>
    <row r="146" spans="1:9" x14ac:dyDescent="0.3">
      <c r="A146" t="s">
        <v>153</v>
      </c>
      <c r="B146" t="s">
        <v>159</v>
      </c>
      <c r="E146" s="19">
        <v>94148</v>
      </c>
      <c r="F146" s="2">
        <v>43016</v>
      </c>
      <c r="G146" s="4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19">
        <v>35627</v>
      </c>
      <c r="F147" s="2">
        <v>43023</v>
      </c>
      <c r="G147" s="4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19">
        <v>57141</v>
      </c>
      <c r="F148" s="2">
        <v>43030</v>
      </c>
      <c r="G148" s="4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19">
        <v>65270</v>
      </c>
      <c r="F149" s="2">
        <v>43037</v>
      </c>
      <c r="G149" s="4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 s="19">
        <v>67335</v>
      </c>
      <c r="F150" s="2">
        <v>43044</v>
      </c>
      <c r="G150" s="4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19">
        <v>98475</v>
      </c>
      <c r="F151" s="2">
        <v>43051</v>
      </c>
      <c r="G151" s="4">
        <v>5</v>
      </c>
      <c r="H151" t="s">
        <v>179</v>
      </c>
      <c r="I151" t="s">
        <v>184</v>
      </c>
    </row>
    <row r="152" spans="1:9" x14ac:dyDescent="0.3">
      <c r="E152" s="19"/>
    </row>
    <row r="153" spans="1:9" x14ac:dyDescent="0.3">
      <c r="E153" s="19"/>
    </row>
    <row r="154" spans="1:9" x14ac:dyDescent="0.3">
      <c r="E154" s="19"/>
    </row>
    <row r="155" spans="1:9" x14ac:dyDescent="0.3">
      <c r="E155" s="19"/>
    </row>
    <row r="156" spans="1:9" x14ac:dyDescent="0.3">
      <c r="E156" s="19"/>
    </row>
    <row r="157" spans="1:9" x14ac:dyDescent="0.3">
      <c r="E157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4" x14ac:dyDescent="0.3"/>
  <cols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184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184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184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184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184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184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184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184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184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184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184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2025-12-21T10:16:09Z</dcterms:modified>
</cp:coreProperties>
</file>