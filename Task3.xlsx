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ing Challenge\Excel\"/>
    </mc:Choice>
  </mc:AlternateContent>
  <xr:revisionPtr revIDLastSave="0" documentId="13_ncr:1_{97A3E18C-2E4A-4EA1-BB1B-167F718C921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Task3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4" l="1"/>
  <c r="O4" i="4"/>
  <c r="P3" i="4"/>
  <c r="O3" i="4"/>
  <c r="N4" i="4"/>
  <c r="M4" i="4"/>
  <c r="L4" i="4"/>
  <c r="N3" i="4"/>
  <c r="M3" i="4"/>
  <c r="L3" i="4"/>
</calcChain>
</file>

<file path=xl/sharedStrings.xml><?xml version="1.0" encoding="utf-8"?>
<sst xmlns="http://schemas.openxmlformats.org/spreadsheetml/2006/main" count="1635" uniqueCount="190">
  <si>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</si>
  <si>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</si>
  <si>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</si>
  <si>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</si>
  <si>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</si>
  <si>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</si>
  <si>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</si>
  <si>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</si>
  <si>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</si>
  <si>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</si>
  <si>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</si>
  <si>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</si>
  <si>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</si>
  <si>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</si>
  <si>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</si>
  <si>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</si>
  <si>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</si>
  <si>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</si>
  <si>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</si>
  <si>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</si>
  <si>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</si>
  <si>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</si>
  <si>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</si>
  <si>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</si>
  <si>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</si>
  <si>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</si>
  <si>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</si>
  <si>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</si>
  <si>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</si>
  <si>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</si>
  <si>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</si>
  <si>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</si>
  <si>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</si>
  <si>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</si>
  <si>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</si>
  <si>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</si>
  <si>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</si>
  <si>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</si>
  <si>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</si>
  <si>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</si>
  <si>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</si>
  <si>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</si>
  <si>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</si>
  <si>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</si>
  <si>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</si>
  <si>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</si>
  <si>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</si>
  <si>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</si>
  <si>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</si>
  <si>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</si>
  <si>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</si>
  <si>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</si>
  <si>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</si>
  <si>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</si>
  <si>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</si>
  <si>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</si>
  <si>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</si>
  <si>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</si>
  <si>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</si>
  <si>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</si>
  <si>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</si>
  <si>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</si>
  <si>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</si>
  <si>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</si>
  <si>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</si>
  <si>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</si>
  <si>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</si>
  <si>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</si>
  <si>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</si>
  <si>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</si>
  <si>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</si>
  <si>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</si>
  <si>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</si>
  <si>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</si>
  <si>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</si>
  <si>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</si>
  <si>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</si>
  <si>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</si>
  <si>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</si>
  <si>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</si>
  <si>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</si>
  <si>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</si>
  <si>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</si>
  <si>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</si>
  <si>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</si>
  <si>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</si>
  <si>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</si>
  <si>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</si>
  <si>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</si>
  <si>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</si>
  <si>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</si>
  <si>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</si>
  <si>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</si>
  <si>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</si>
  <si>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</si>
  <si>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</si>
  <si>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</si>
  <si>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</si>
  <si>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</si>
  <si>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</si>
  <si>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</si>
  <si>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</si>
  <si>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</si>
  <si>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</si>
  <si>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</si>
  <si>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</si>
  <si>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</si>
  <si>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</si>
  <si>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</si>
  <si>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</si>
  <si>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</si>
  <si>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</si>
  <si>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</si>
  <si>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</si>
  <si>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</si>
  <si>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</si>
  <si>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</si>
  <si>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</si>
  <si>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</si>
  <si>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</si>
  <si>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</si>
  <si>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</si>
  <si>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</si>
  <si>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</si>
  <si>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</si>
  <si>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</si>
  <si>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</si>
  <si>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</si>
  <si>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</si>
  <si>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</si>
  <si>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</si>
  <si>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</si>
  <si>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</si>
  <si>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</si>
  <si>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</si>
  <si>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</si>
  <si>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</si>
  <si>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</si>
  <si>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</si>
  <si>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</si>
  <si>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</si>
  <si>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</si>
  <si>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</si>
  <si>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</si>
  <si>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</si>
  <si>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</si>
  <si>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</si>
  <si>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</si>
  <si>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</si>
  <si>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</si>
  <si>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</si>
  <si>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</si>
  <si>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</si>
  <si>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</si>
  <si>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</si>
  <si>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</si>
  <si>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</si>
  <si>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</si>
  <si>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</si>
  <si>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</si>
  <si>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</si>
  <si>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</si>
  <si>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</si>
  <si>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</si>
  <si>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</si>
  <si>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</si>
  <si>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</si>
  <si>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</si>
  <si>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</si>
  <si>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</si>
  <si>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</si>
  <si>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</si>
  <si>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</si>
  <si>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</si>
  <si>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</si>
  <si>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</si>
  <si>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</si>
  <si>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</si>
  <si>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</si>
  <si>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</si>
  <si>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</si>
  <si>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</si>
  <si>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</si>
  <si>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</si>
  <si>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</si>
  <si>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Average</t>
  </si>
  <si>
    <t>Count</t>
  </si>
  <si>
    <t>Min</t>
  </si>
  <si>
    <t>Max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</si>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</sst>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.00"/>
    <numFmt numFmtId="166" formatCode="&quot;₹&quot;\ 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166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" fillId="2" borderId="0" xfId="0" applyNumberFormat="1" applyFont="1" applyFill="1" applyAlignment="1">
      <alignment horizontal="center" vertical="top"/>
    </xf>
    <xf numFmtId="0" fontId="1" fillId="2" borderId="0" xfId="0" applyFont="1" applyFill="1" applyAlignment="1">
      <alignment horizontal="center" vertical="center"/>
    </xf>
    <xf numFmtId="166" fontId="0" fillId="0" borderId="3" xfId="0" applyNumberFormat="1" applyBorder="1"/>
    <xf numFmtId="166" fontId="0" fillId="0" borderId="2" xfId="0" applyNumberFormat="1" applyBorder="1"/>
    <xf numFmtId="1" fontId="0" fillId="0" borderId="2" xfId="0" applyNumberFormat="1" applyBorder="1"/>
  </cellXfs>
  <cellStyles count="1"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DE684C-6A5A-4A8F-8117-DFBE9D30DFDD}" name="Table3" displayName="Table3" ref="A1:I151" totalsRowShown="0" headerRowDxfId="3">
  <autoFilter ref="A1:I151" xr:uid="{54DE684C-6A5A-4A8F-8117-DFBE9D30DFDD}"/>
  <tableColumns count="9">
    <tableColumn id="1" xr3:uid="{158B9821-D1EE-4AA2-9A49-D48323110A99}" name="Employee ID"/>
    <tableColumn id="2" xr3:uid="{F9838E8E-4069-42CB-88E3-F95B357133EB}" name="Name"/>
    <tableColumn id="3" xr3:uid="{597FDAD8-0D3F-4B37-8D6A-AD643289527A}" name="Department"/>
    <tableColumn id="4" xr3:uid="{396CDCCD-1C45-4B6D-8887-CA53B3BF83DB}" name="Country"/>
    <tableColumn id="5" xr3:uid="{B09CE173-B27E-4A28-87D8-50D4D7AD245E}" name="Salary" dataDxfId="2"/>
    <tableColumn id="6" xr3:uid="{73987AC6-46E1-4ECE-A50B-5F169BB20E39}" name="Date of Joining" dataDxfId="1"/>
    <tableColumn id="7" xr3:uid="{90926D54-C776-42D2-A16B-F1D2B77D00EE}" name="Performance Rating" dataDxfId="0"/>
    <tableColumn id="8" xr3:uid="{042A8258-3301-43C7-94F9-1CA6003E91F0}" name="Gender"/>
    <tableColumn id="9" xr3:uid="{1A01D989-D6BB-4573-A77C-A7CE3E6FB6DA}" name="Email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G2" sqref="G2"/>
    </sheetView>
  </sheetViews>
  <sheetFormatPr defaultRowHeight="14.4" x14ac:dyDescent="0.3"/>
  <cols>
    <col min="6" max="6" width="16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t="s">
        <v>177</v>
      </c>
      <c r="G2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>
        <v>54255</v>
      </c>
      <c r="F3" s="2">
        <v>42015</v>
      </c>
      <c r="G3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>
        <v>63184</v>
      </c>
      <c r="F4" s="2">
        <v>42022</v>
      </c>
      <c r="G4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>
        <v>94406</v>
      </c>
      <c r="F5" s="2">
        <v>42029</v>
      </c>
      <c r="G5">
        <v>1</v>
      </c>
      <c r="H5" t="s">
        <v>180</v>
      </c>
      <c r="I5" t="s">
        <v>184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>
        <v>64120</v>
      </c>
      <c r="F6" s="2">
        <v>42036</v>
      </c>
      <c r="G6">
        <v>1</v>
      </c>
      <c r="H6" t="s">
        <v>180</v>
      </c>
      <c r="I6" t="s">
        <v>184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>
        <v>78421</v>
      </c>
      <c r="F7" s="2">
        <v>42043</v>
      </c>
      <c r="G7">
        <v>2</v>
      </c>
      <c r="H7" t="s">
        <v>181</v>
      </c>
      <c r="I7" t="s">
        <v>184</v>
      </c>
    </row>
    <row r="8" spans="1:9" x14ac:dyDescent="0.3">
      <c r="A8" t="s">
        <v>15</v>
      </c>
      <c r="B8" t="s">
        <v>163</v>
      </c>
      <c r="C8" t="s">
        <v>168</v>
      </c>
      <c r="E8">
        <v>67721</v>
      </c>
      <c r="F8" s="2">
        <v>42050</v>
      </c>
      <c r="H8" t="s">
        <v>180</v>
      </c>
      <c r="I8" t="s">
        <v>184</v>
      </c>
    </row>
    <row r="9" spans="1:9" x14ac:dyDescent="0.3">
      <c r="A9" t="s">
        <v>16</v>
      </c>
      <c r="B9" t="s">
        <v>164</v>
      </c>
      <c r="C9" t="s">
        <v>170</v>
      </c>
      <c r="E9">
        <v>35364</v>
      </c>
      <c r="F9" s="2">
        <v>42057</v>
      </c>
      <c r="G9">
        <v>2</v>
      </c>
      <c r="H9" t="s">
        <v>179</v>
      </c>
      <c r="I9" t="s">
        <v>184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>
        <v>97881</v>
      </c>
      <c r="F10" s="2">
        <v>42064</v>
      </c>
      <c r="H10" t="s">
        <v>181</v>
      </c>
      <c r="I10" t="s">
        <v>184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>
        <v>91846</v>
      </c>
      <c r="F11" s="2">
        <v>42071</v>
      </c>
      <c r="H11" t="s">
        <v>180</v>
      </c>
      <c r="I11" t="s">
        <v>184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>
        <v>64247</v>
      </c>
      <c r="F12" s="2">
        <v>42078</v>
      </c>
      <c r="G12">
        <v>1</v>
      </c>
      <c r="H12" t="s">
        <v>181</v>
      </c>
      <c r="I12" t="s">
        <v>184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>
        <v>91180</v>
      </c>
      <c r="F13" s="2">
        <v>42085</v>
      </c>
      <c r="G13">
        <v>5</v>
      </c>
      <c r="H13" t="s">
        <v>180</v>
      </c>
      <c r="I13" t="s">
        <v>184</v>
      </c>
    </row>
    <row r="14" spans="1:9" x14ac:dyDescent="0.3">
      <c r="A14" t="s">
        <v>21</v>
      </c>
      <c r="B14" t="s">
        <v>165</v>
      </c>
      <c r="C14" t="s">
        <v>168</v>
      </c>
      <c r="E14">
        <v>96418</v>
      </c>
      <c r="F14" s="2">
        <v>42092</v>
      </c>
      <c r="G14">
        <v>5</v>
      </c>
      <c r="H14" t="s">
        <v>180</v>
      </c>
      <c r="I14" t="s">
        <v>184</v>
      </c>
    </row>
    <row r="15" spans="1:9" x14ac:dyDescent="0.3">
      <c r="A15" t="s">
        <v>22</v>
      </c>
      <c r="B15" t="s">
        <v>163</v>
      </c>
      <c r="D15" t="s">
        <v>174</v>
      </c>
      <c r="E15">
        <v>62158</v>
      </c>
      <c r="F15" s="2">
        <v>42099</v>
      </c>
      <c r="G15">
        <v>4</v>
      </c>
      <c r="I15" t="s">
        <v>184</v>
      </c>
    </row>
    <row r="16" spans="1:9" x14ac:dyDescent="0.3">
      <c r="A16" t="s">
        <v>23</v>
      </c>
      <c r="B16" t="s">
        <v>162</v>
      </c>
      <c r="C16" t="s">
        <v>167</v>
      </c>
      <c r="E16">
        <v>59894</v>
      </c>
      <c r="F16" s="2">
        <v>42106</v>
      </c>
      <c r="G16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>
        <v>92443</v>
      </c>
      <c r="F17" s="2">
        <v>42113</v>
      </c>
      <c r="G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>
        <v>90271</v>
      </c>
      <c r="F18" s="2">
        <v>42120</v>
      </c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>
        <v>41341</v>
      </c>
      <c r="F19" s="2">
        <v>42127</v>
      </c>
      <c r="G19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>
        <v>73602</v>
      </c>
      <c r="F20" s="2">
        <v>42134</v>
      </c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>
        <v>67531</v>
      </c>
      <c r="F21" s="2">
        <v>42141</v>
      </c>
      <c r="G21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t="s">
        <v>177</v>
      </c>
      <c r="F22" s="2">
        <v>42148</v>
      </c>
      <c r="G2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>
        <v>98922</v>
      </c>
      <c r="F23" s="2">
        <v>42155</v>
      </c>
      <c r="G23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>
        <v>38333</v>
      </c>
      <c r="F24" s="2">
        <v>42162</v>
      </c>
      <c r="G24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>
        <v>36515</v>
      </c>
      <c r="F25" s="2">
        <v>42169</v>
      </c>
      <c r="G25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>
        <v>91005</v>
      </c>
      <c r="F26" s="2">
        <v>42176</v>
      </c>
      <c r="G26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>
        <v>52272</v>
      </c>
      <c r="F27" s="2">
        <v>42183</v>
      </c>
      <c r="G2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>
        <v>76518</v>
      </c>
      <c r="F28" s="2">
        <v>42190</v>
      </c>
      <c r="G28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>
        <v>41448</v>
      </c>
      <c r="F29" s="2">
        <v>42197</v>
      </c>
      <c r="G29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>
        <v>49282</v>
      </c>
      <c r="F30" s="2">
        <v>42204</v>
      </c>
      <c r="G30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>
        <v>92959</v>
      </c>
      <c r="F31" s="2">
        <v>42211</v>
      </c>
      <c r="G31">
        <v>5</v>
      </c>
      <c r="I31" t="s">
        <v>184</v>
      </c>
    </row>
    <row r="32" spans="1:9" x14ac:dyDescent="0.3">
      <c r="A32" t="s">
        <v>39</v>
      </c>
      <c r="C32" t="s">
        <v>170</v>
      </c>
      <c r="E32">
        <v>92259</v>
      </c>
      <c r="G3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>
        <v>92299</v>
      </c>
      <c r="F33" s="2">
        <v>42225</v>
      </c>
      <c r="G33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>
        <v>95586</v>
      </c>
      <c r="F34" s="2">
        <v>42232</v>
      </c>
      <c r="G34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>
        <v>95367</v>
      </c>
      <c r="F35" s="2">
        <v>42239</v>
      </c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>
        <v>79549</v>
      </c>
      <c r="F36" s="2">
        <v>42246</v>
      </c>
      <c r="G36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>
        <v>54463</v>
      </c>
      <c r="F37" s="2">
        <v>42253</v>
      </c>
      <c r="G3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>
        <v>89781</v>
      </c>
      <c r="F38" s="2">
        <v>42260</v>
      </c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>
        <v>64796</v>
      </c>
      <c r="F39" s="2">
        <v>42267</v>
      </c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>
        <v>52093</v>
      </c>
      <c r="F40" s="2">
        <v>42274</v>
      </c>
      <c r="G40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>
        <v>48224</v>
      </c>
      <c r="F41" s="2">
        <v>42281</v>
      </c>
      <c r="G41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t="s">
        <v>177</v>
      </c>
      <c r="G4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>
        <v>33956</v>
      </c>
      <c r="F43" s="2">
        <v>42295</v>
      </c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>
        <v>64913</v>
      </c>
      <c r="F44" s="2">
        <v>42302</v>
      </c>
      <c r="G44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>
        <v>35326</v>
      </c>
      <c r="F45" s="2">
        <v>42309</v>
      </c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>
        <v>81610</v>
      </c>
      <c r="F46" s="2">
        <v>42316</v>
      </c>
      <c r="G46">
        <v>1</v>
      </c>
      <c r="I46" t="s">
        <v>184</v>
      </c>
    </row>
    <row r="47" spans="1:9" x14ac:dyDescent="0.3">
      <c r="A47" t="s">
        <v>54</v>
      </c>
      <c r="C47" t="s">
        <v>167</v>
      </c>
      <c r="E47">
        <v>58962</v>
      </c>
      <c r="F47" s="2">
        <v>42323</v>
      </c>
      <c r="G4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>
        <v>92701</v>
      </c>
      <c r="F48" s="2">
        <v>42330</v>
      </c>
      <c r="G48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>
        <v>58245</v>
      </c>
      <c r="F49" s="2">
        <v>42337</v>
      </c>
      <c r="G49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>
        <v>66513</v>
      </c>
      <c r="F50" s="2">
        <v>42344</v>
      </c>
      <c r="G50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>
        <v>78720</v>
      </c>
      <c r="F51" s="2">
        <v>42351</v>
      </c>
      <c r="G51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>
        <v>30686</v>
      </c>
      <c r="G5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>
        <v>39423</v>
      </c>
      <c r="F53" s="2">
        <v>42365</v>
      </c>
      <c r="G53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>
        <v>30280</v>
      </c>
      <c r="F54" s="2">
        <v>42372</v>
      </c>
      <c r="G54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>
        <v>33352</v>
      </c>
      <c r="F55" s="2">
        <v>42379</v>
      </c>
      <c r="G55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>
        <v>75633</v>
      </c>
      <c r="F56" s="2">
        <v>42386</v>
      </c>
      <c r="G56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>
        <v>74815</v>
      </c>
      <c r="F57" s="2">
        <v>42393</v>
      </c>
      <c r="G5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>
        <v>60011</v>
      </c>
      <c r="F58" s="2">
        <v>42400</v>
      </c>
      <c r="G58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>
        <v>96949</v>
      </c>
      <c r="F59" s="2">
        <v>42407</v>
      </c>
      <c r="G59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>
        <v>84924</v>
      </c>
      <c r="F60" s="2">
        <v>42414</v>
      </c>
      <c r="G60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>
        <v>82033</v>
      </c>
      <c r="F61" s="2">
        <v>42421</v>
      </c>
      <c r="G61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t="s">
        <v>177</v>
      </c>
      <c r="G6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>
        <v>31499</v>
      </c>
      <c r="F63" s="2">
        <v>42435</v>
      </c>
      <c r="G63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>
        <v>97981</v>
      </c>
      <c r="F64" s="2">
        <v>42442</v>
      </c>
      <c r="G64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>
        <v>36541</v>
      </c>
      <c r="F65" s="2">
        <v>42449</v>
      </c>
      <c r="G65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>
        <v>84737</v>
      </c>
      <c r="F66" s="2">
        <v>42456</v>
      </c>
      <c r="G66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>
        <v>33468</v>
      </c>
      <c r="F67" s="2">
        <v>42463</v>
      </c>
      <c r="G6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>
        <v>96365</v>
      </c>
      <c r="F68" s="2">
        <v>42470</v>
      </c>
      <c r="G68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>
        <v>61942</v>
      </c>
      <c r="F69" s="2">
        <v>42477</v>
      </c>
      <c r="G69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>
        <v>41467</v>
      </c>
      <c r="F70" s="2">
        <v>42484</v>
      </c>
      <c r="G70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>
        <v>77096</v>
      </c>
      <c r="F71" s="2">
        <v>42491</v>
      </c>
      <c r="G71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>
        <v>69952</v>
      </c>
      <c r="F72" s="2">
        <v>42498</v>
      </c>
      <c r="G7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>
        <v>85065</v>
      </c>
      <c r="F73" s="2">
        <v>42505</v>
      </c>
      <c r="G73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>
        <v>56512</v>
      </c>
      <c r="F74" s="2">
        <v>42512</v>
      </c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>
        <v>91101</v>
      </c>
      <c r="F75" s="2">
        <v>42519</v>
      </c>
      <c r="G75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>
        <v>41243</v>
      </c>
      <c r="F76" s="2">
        <v>42526</v>
      </c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>
        <v>96142</v>
      </c>
      <c r="F77" s="2">
        <v>42533</v>
      </c>
      <c r="G7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>
        <v>94301</v>
      </c>
      <c r="F78" s="2">
        <v>42540</v>
      </c>
      <c r="G78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>
        <v>69166</v>
      </c>
      <c r="F79" s="2">
        <v>42547</v>
      </c>
      <c r="G79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>
        <v>78245</v>
      </c>
      <c r="F80" s="2">
        <v>42554</v>
      </c>
      <c r="G80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>
        <v>66079</v>
      </c>
      <c r="F81" s="2">
        <v>42561</v>
      </c>
      <c r="G81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t="s">
        <v>177</v>
      </c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>
        <v>95621</v>
      </c>
      <c r="F83" s="2">
        <v>42575</v>
      </c>
      <c r="G83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>
        <v>42262</v>
      </c>
      <c r="F84" s="2">
        <v>42582</v>
      </c>
      <c r="G84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>
        <v>99621</v>
      </c>
      <c r="F85" s="2">
        <v>42589</v>
      </c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>
        <v>44682</v>
      </c>
      <c r="F86" s="2">
        <v>42596</v>
      </c>
      <c r="G86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>
        <v>35163</v>
      </c>
      <c r="F87" s="2">
        <v>42603</v>
      </c>
      <c r="G8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>
        <v>33483</v>
      </c>
      <c r="F88" s="2">
        <v>42610</v>
      </c>
      <c r="G88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>
        <v>55303</v>
      </c>
      <c r="F89" s="2">
        <v>42617</v>
      </c>
      <c r="G89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>
        <v>63434</v>
      </c>
      <c r="F90" s="2">
        <v>42624</v>
      </c>
      <c r="G90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>
        <v>38830</v>
      </c>
      <c r="F91" s="2">
        <v>42631</v>
      </c>
      <c r="G91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>
        <v>50741</v>
      </c>
      <c r="F92" s="2">
        <v>42638</v>
      </c>
      <c r="G9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>
        <v>69420</v>
      </c>
      <c r="F93" s="2">
        <v>42645</v>
      </c>
      <c r="G93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>
        <v>80588</v>
      </c>
      <c r="F94" s="2">
        <v>42652</v>
      </c>
      <c r="G94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>
        <v>76238</v>
      </c>
      <c r="F95" s="2">
        <v>42659</v>
      </c>
      <c r="G95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>
        <v>33264</v>
      </c>
      <c r="F96" s="2">
        <v>42666</v>
      </c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>
        <v>96101</v>
      </c>
      <c r="F97" s="2">
        <v>42673</v>
      </c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>
        <v>72939</v>
      </c>
      <c r="F98" s="2">
        <v>42680</v>
      </c>
      <c r="G98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>
        <v>89333</v>
      </c>
      <c r="F99" s="2">
        <v>42687</v>
      </c>
      <c r="G99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>
        <v>70470</v>
      </c>
      <c r="F100" s="2">
        <v>42694</v>
      </c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>
        <v>70096</v>
      </c>
      <c r="F101" s="2">
        <v>42701</v>
      </c>
      <c r="G101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t="s">
        <v>177</v>
      </c>
      <c r="F102" s="2">
        <v>42708</v>
      </c>
      <c r="G10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>
        <v>66503</v>
      </c>
      <c r="F103" s="2">
        <v>42715</v>
      </c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>
        <v>42096</v>
      </c>
      <c r="F104" s="2">
        <v>42722</v>
      </c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>
        <v>79145</v>
      </c>
      <c r="F105" s="2">
        <v>42729</v>
      </c>
      <c r="G105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>
        <v>61556</v>
      </c>
      <c r="F106" s="2">
        <v>42736</v>
      </c>
      <c r="G106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>
        <v>87963</v>
      </c>
      <c r="F107" s="2">
        <v>42743</v>
      </c>
      <c r="G10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>
        <v>48325</v>
      </c>
      <c r="F108" s="2">
        <v>42750</v>
      </c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>
        <v>86412</v>
      </c>
      <c r="F109" s="2">
        <v>42757</v>
      </c>
      <c r="G109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>
        <v>66761</v>
      </c>
      <c r="F110" s="2">
        <v>42764</v>
      </c>
      <c r="G110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>
        <v>88850</v>
      </c>
      <c r="F111" s="2">
        <v>42771</v>
      </c>
      <c r="G111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>
        <v>31293</v>
      </c>
      <c r="G1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>
        <v>34306</v>
      </c>
      <c r="F113" s="2">
        <v>42785</v>
      </c>
      <c r="G113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>
        <v>78330</v>
      </c>
      <c r="F114" s="2">
        <v>42792</v>
      </c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>
        <v>47653</v>
      </c>
      <c r="F115" s="2">
        <v>42799</v>
      </c>
      <c r="G115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>
        <v>44627</v>
      </c>
      <c r="F116" s="2">
        <v>42806</v>
      </c>
      <c r="G116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>
        <v>92343</v>
      </c>
      <c r="F117" s="2">
        <v>42813</v>
      </c>
      <c r="G1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>
        <v>38837</v>
      </c>
      <c r="F118" s="2">
        <v>42820</v>
      </c>
      <c r="G118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>
        <v>73483</v>
      </c>
      <c r="F119" s="2">
        <v>42827</v>
      </c>
      <c r="G119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>
        <v>95032</v>
      </c>
      <c r="F120" s="2">
        <v>42834</v>
      </c>
      <c r="G120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>
        <v>44358</v>
      </c>
      <c r="F121" s="2">
        <v>42841</v>
      </c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t="s">
        <v>177</v>
      </c>
      <c r="G12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>
        <v>45676</v>
      </c>
      <c r="F123" s="2">
        <v>42855</v>
      </c>
      <c r="G123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>
        <v>52036</v>
      </c>
      <c r="F124" s="2">
        <v>42862</v>
      </c>
      <c r="G124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>
        <v>30357</v>
      </c>
      <c r="F125" s="2">
        <v>42869</v>
      </c>
      <c r="G125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>
        <v>60034</v>
      </c>
      <c r="F126" s="2">
        <v>42876</v>
      </c>
      <c r="G126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>
        <v>90019</v>
      </c>
      <c r="F127" s="2">
        <v>42883</v>
      </c>
      <c r="G12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>
        <v>71494</v>
      </c>
      <c r="F128" s="2">
        <v>42890</v>
      </c>
      <c r="G128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>
        <v>91953</v>
      </c>
      <c r="F129" s="2">
        <v>42897</v>
      </c>
      <c r="G129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>
        <v>30402</v>
      </c>
      <c r="F130" s="2">
        <v>42904</v>
      </c>
      <c r="G130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>
        <v>62994</v>
      </c>
      <c r="F131" s="2">
        <v>42911</v>
      </c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>
        <v>48289</v>
      </c>
      <c r="G13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>
        <v>34402</v>
      </c>
      <c r="F133" s="2">
        <v>42925</v>
      </c>
      <c r="G133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>
        <v>38678</v>
      </c>
      <c r="F134" s="2">
        <v>42932</v>
      </c>
      <c r="G134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>
        <v>45758</v>
      </c>
      <c r="F135" s="2">
        <v>42939</v>
      </c>
      <c r="G135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>
        <v>62476</v>
      </c>
      <c r="F136" s="2">
        <v>42946</v>
      </c>
      <c r="G136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>
        <v>39280</v>
      </c>
      <c r="F137" s="2">
        <v>42953</v>
      </c>
      <c r="G13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>
        <v>60335</v>
      </c>
      <c r="F138" s="2">
        <v>42960</v>
      </c>
      <c r="G138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>
        <v>84968</v>
      </c>
      <c r="F139" s="2">
        <v>42967</v>
      </c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>
        <v>84750</v>
      </c>
      <c r="F140" s="2">
        <v>42974</v>
      </c>
      <c r="G140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>
        <v>73348</v>
      </c>
      <c r="F141" s="2">
        <v>42981</v>
      </c>
      <c r="G141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t="s">
        <v>177</v>
      </c>
      <c r="F142" s="2">
        <v>42988</v>
      </c>
      <c r="G14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>
        <v>66882</v>
      </c>
      <c r="F143" s="2">
        <v>42995</v>
      </c>
      <c r="G143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>
        <v>86775</v>
      </c>
      <c r="F144" s="2">
        <v>43002</v>
      </c>
      <c r="G144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>
        <v>91620</v>
      </c>
      <c r="F145" s="2">
        <v>43009</v>
      </c>
      <c r="I145" t="s">
        <v>184</v>
      </c>
    </row>
    <row r="146" spans="1:9" x14ac:dyDescent="0.3">
      <c r="A146" t="s">
        <v>153</v>
      </c>
      <c r="B146" t="s">
        <v>159</v>
      </c>
      <c r="E146">
        <v>94148</v>
      </c>
      <c r="F146" s="2">
        <v>43016</v>
      </c>
      <c r="G146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>
        <v>35627</v>
      </c>
      <c r="F147" s="2">
        <v>43023</v>
      </c>
      <c r="G14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>
        <v>57141</v>
      </c>
      <c r="F148" s="2">
        <v>43030</v>
      </c>
      <c r="G148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>
        <v>65270</v>
      </c>
      <c r="F149" s="2">
        <v>43037</v>
      </c>
      <c r="G149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>
        <v>67335</v>
      </c>
      <c r="F150" s="2">
        <v>43044</v>
      </c>
      <c r="G150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>
        <v>98475</v>
      </c>
      <c r="F151" s="2">
        <v>43051</v>
      </c>
      <c r="G151">
        <v>5</v>
      </c>
      <c r="H151" t="s">
        <v>179</v>
      </c>
      <c r="I151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2E60-0398-4477-A982-C3C993C4A160}">
  <dimension ref="A1:P151"/>
  <sheetViews>
    <sheetView tabSelected="1" topLeftCell="B1" zoomScaleNormal="100" workbookViewId="0">
      <selection activeCell="L7" sqref="L7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0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0" max="10" width="5.109375" customWidth="1"/>
    <col min="11" max="11" width="18" bestFit="1" customWidth="1"/>
    <col min="12" max="12" width="15.5546875" customWidth="1"/>
    <col min="13" max="13" width="13.109375" customWidth="1"/>
    <col min="14" max="14" width="9.21875" customWidth="1"/>
  </cols>
  <sheetData>
    <row r="1" spans="1:16" ht="15" thickBot="1" x14ac:dyDescent="0.35">
      <c r="A1" s="9" t="s">
        <v>0</v>
      </c>
      <c r="B1" s="9" t="s">
        <v>1</v>
      </c>
      <c r="C1" s="9" t="s">
        <v>2</v>
      </c>
      <c r="D1" s="9" t="s">
        <v>3</v>
      </c>
      <c r="E1" s="14" t="s">
        <v>4</v>
      </c>
      <c r="F1" s="9" t="s">
        <v>5</v>
      </c>
      <c r="G1" s="15" t="s">
        <v>6</v>
      </c>
      <c r="H1" s="9" t="s">
        <v>7</v>
      </c>
      <c r="I1" s="9" t="s">
        <v>8</v>
      </c>
    </row>
    <row r="2" spans="1:16" ht="15" thickBot="1" x14ac:dyDescent="0.35">
      <c r="A2" t="s">
        <v>9</v>
      </c>
      <c r="C2" t="s">
        <v>166</v>
      </c>
      <c r="D2" t="s">
        <v>171</v>
      </c>
      <c r="E2" s="10" t="s">
        <v>177</v>
      </c>
      <c r="G2" s="11">
        <v>2</v>
      </c>
      <c r="H2" t="s">
        <v>178</v>
      </c>
      <c r="I2" t="s">
        <v>182</v>
      </c>
      <c r="L2" s="4" t="s">
        <v>189</v>
      </c>
      <c r="M2" s="4" t="s">
        <v>185</v>
      </c>
      <c r="N2" s="4" t="s">
        <v>186</v>
      </c>
      <c r="O2" s="4" t="s">
        <v>187</v>
      </c>
      <c r="P2" s="4" t="s">
        <v>188</v>
      </c>
    </row>
    <row r="3" spans="1:16" ht="15" thickBot="1" x14ac:dyDescent="0.35">
      <c r="A3" t="s">
        <v>10</v>
      </c>
      <c r="B3" t="s">
        <v>159</v>
      </c>
      <c r="C3" t="s">
        <v>167</v>
      </c>
      <c r="D3" t="s">
        <v>172</v>
      </c>
      <c r="E3" s="10">
        <v>54255</v>
      </c>
      <c r="F3" s="2">
        <v>42015</v>
      </c>
      <c r="G3" s="12">
        <v>1</v>
      </c>
      <c r="H3" t="s">
        <v>179</v>
      </c>
      <c r="I3" t="s">
        <v>183</v>
      </c>
      <c r="K3" s="5" t="s">
        <v>4</v>
      </c>
      <c r="L3" s="17">
        <f>SUM(E2:E151)</f>
        <v>9411892</v>
      </c>
      <c r="M3" s="17">
        <f>AVERAGE(E2:E151)</f>
        <v>66280.929577464791</v>
      </c>
      <c r="N3" s="8">
        <f>COUNT(E2:E151)</f>
        <v>142</v>
      </c>
      <c r="O3" s="16">
        <f>MIN(E2:E151)</f>
        <v>30280</v>
      </c>
      <c r="P3" s="17">
        <f>MAX(E2:E151)</f>
        <v>99621</v>
      </c>
    </row>
    <row r="4" spans="1:16" ht="15" thickBot="1" x14ac:dyDescent="0.35">
      <c r="A4" t="s">
        <v>11</v>
      </c>
      <c r="B4" t="s">
        <v>160</v>
      </c>
      <c r="C4" t="s">
        <v>166</v>
      </c>
      <c r="D4" t="s">
        <v>172</v>
      </c>
      <c r="E4" s="10">
        <v>63184</v>
      </c>
      <c r="F4" s="2">
        <v>42022</v>
      </c>
      <c r="G4" s="12">
        <v>2</v>
      </c>
      <c r="I4" t="s">
        <v>184</v>
      </c>
      <c r="K4" s="5" t="s">
        <v>6</v>
      </c>
      <c r="L4" s="6">
        <f>SUM(G2:G151)</f>
        <v>359</v>
      </c>
      <c r="M4" s="18">
        <f>AVERAGE(G2:G151)</f>
        <v>2.8719999999999999</v>
      </c>
      <c r="N4" s="7">
        <f>COUNT(G2:G151)</f>
        <v>125</v>
      </c>
      <c r="O4" s="6">
        <f>MIN(G2:G151)</f>
        <v>1</v>
      </c>
      <c r="P4" s="6">
        <f>MAX(G2:G151)</f>
        <v>5</v>
      </c>
    </row>
    <row r="5" spans="1:16" x14ac:dyDescent="0.3">
      <c r="A5" t="s">
        <v>12</v>
      </c>
      <c r="B5" t="s">
        <v>161</v>
      </c>
      <c r="C5" t="s">
        <v>168</v>
      </c>
      <c r="D5" t="s">
        <v>173</v>
      </c>
      <c r="E5" s="10">
        <v>94406</v>
      </c>
      <c r="F5" s="2">
        <v>42029</v>
      </c>
      <c r="G5" s="12">
        <v>1</v>
      </c>
      <c r="H5" t="s">
        <v>180</v>
      </c>
      <c r="I5" t="s">
        <v>184</v>
      </c>
    </row>
    <row r="6" spans="1:16" x14ac:dyDescent="0.3">
      <c r="A6" t="s">
        <v>13</v>
      </c>
      <c r="B6" t="s">
        <v>162</v>
      </c>
      <c r="C6" t="s">
        <v>168</v>
      </c>
      <c r="D6" t="s">
        <v>172</v>
      </c>
      <c r="E6" s="10">
        <v>64120</v>
      </c>
      <c r="F6" s="2">
        <v>42036</v>
      </c>
      <c r="G6" s="12">
        <v>1</v>
      </c>
      <c r="H6" t="s">
        <v>180</v>
      </c>
      <c r="I6" t="s">
        <v>184</v>
      </c>
      <c r="L6" s="3"/>
    </row>
    <row r="7" spans="1:16" x14ac:dyDescent="0.3">
      <c r="A7" t="s">
        <v>14</v>
      </c>
      <c r="B7" t="s">
        <v>160</v>
      </c>
      <c r="C7" t="s">
        <v>169</v>
      </c>
      <c r="D7" t="s">
        <v>174</v>
      </c>
      <c r="E7" s="10">
        <v>78421</v>
      </c>
      <c r="F7" s="2">
        <v>42043</v>
      </c>
      <c r="G7" s="12">
        <v>2</v>
      </c>
      <c r="H7" t="s">
        <v>181</v>
      </c>
      <c r="I7" t="s">
        <v>184</v>
      </c>
      <c r="L7" s="3"/>
    </row>
    <row r="8" spans="1:16" x14ac:dyDescent="0.3">
      <c r="A8" t="s">
        <v>15</v>
      </c>
      <c r="B8" t="s">
        <v>163</v>
      </c>
      <c r="C8" t="s">
        <v>168</v>
      </c>
      <c r="E8" s="10">
        <v>67721</v>
      </c>
      <c r="F8" s="2">
        <v>42050</v>
      </c>
      <c r="G8" s="12"/>
      <c r="H8" t="s">
        <v>180</v>
      </c>
      <c r="I8" t="s">
        <v>184</v>
      </c>
    </row>
    <row r="9" spans="1:16" x14ac:dyDescent="0.3">
      <c r="A9" t="s">
        <v>16</v>
      </c>
      <c r="B9" t="s">
        <v>164</v>
      </c>
      <c r="C9" t="s">
        <v>170</v>
      </c>
      <c r="E9" s="10">
        <v>35364</v>
      </c>
      <c r="F9" s="2">
        <v>42057</v>
      </c>
      <c r="G9" s="12">
        <v>2</v>
      </c>
      <c r="H9" t="s">
        <v>179</v>
      </c>
      <c r="I9" t="s">
        <v>184</v>
      </c>
    </row>
    <row r="10" spans="1:16" x14ac:dyDescent="0.3">
      <c r="A10" t="s">
        <v>17</v>
      </c>
      <c r="B10" t="s">
        <v>160</v>
      </c>
      <c r="C10" t="s">
        <v>169</v>
      </c>
      <c r="D10" t="s">
        <v>172</v>
      </c>
      <c r="E10" s="10">
        <v>97881</v>
      </c>
      <c r="F10" s="2">
        <v>42064</v>
      </c>
      <c r="G10" s="12"/>
      <c r="H10" t="s">
        <v>181</v>
      </c>
      <c r="I10" t="s">
        <v>184</v>
      </c>
    </row>
    <row r="11" spans="1:16" x14ac:dyDescent="0.3">
      <c r="A11" t="s">
        <v>18</v>
      </c>
      <c r="B11" t="s">
        <v>164</v>
      </c>
      <c r="C11" t="s">
        <v>167</v>
      </c>
      <c r="D11" t="s">
        <v>175</v>
      </c>
      <c r="E11" s="10">
        <v>91846</v>
      </c>
      <c r="F11" s="2">
        <v>42071</v>
      </c>
      <c r="G11" s="12"/>
      <c r="H11" t="s">
        <v>180</v>
      </c>
      <c r="I11" t="s">
        <v>184</v>
      </c>
    </row>
    <row r="12" spans="1:16" x14ac:dyDescent="0.3">
      <c r="A12" t="s">
        <v>19</v>
      </c>
      <c r="B12" t="s">
        <v>163</v>
      </c>
      <c r="C12" t="s">
        <v>166</v>
      </c>
      <c r="D12" t="s">
        <v>175</v>
      </c>
      <c r="E12" s="10">
        <v>64247</v>
      </c>
      <c r="F12" s="2">
        <v>42078</v>
      </c>
      <c r="G12" s="13">
        <v>1</v>
      </c>
      <c r="H12" t="s">
        <v>181</v>
      </c>
      <c r="I12" t="s">
        <v>184</v>
      </c>
    </row>
    <row r="13" spans="1:16" x14ac:dyDescent="0.3">
      <c r="A13" t="s">
        <v>20</v>
      </c>
      <c r="B13" t="s">
        <v>163</v>
      </c>
      <c r="C13" t="s">
        <v>169</v>
      </c>
      <c r="D13" t="s">
        <v>173</v>
      </c>
      <c r="E13" s="10">
        <v>91180</v>
      </c>
      <c r="F13" s="2">
        <v>42085</v>
      </c>
      <c r="G13" s="12">
        <v>5</v>
      </c>
      <c r="H13" t="s">
        <v>180</v>
      </c>
      <c r="I13" t="s">
        <v>184</v>
      </c>
    </row>
    <row r="14" spans="1:16" x14ac:dyDescent="0.3">
      <c r="A14" t="s">
        <v>21</v>
      </c>
      <c r="B14" t="s">
        <v>165</v>
      </c>
      <c r="C14" t="s">
        <v>168</v>
      </c>
      <c r="E14" s="10">
        <v>96418</v>
      </c>
      <c r="F14" s="2">
        <v>42092</v>
      </c>
      <c r="G14" s="12">
        <v>5</v>
      </c>
      <c r="H14" t="s">
        <v>180</v>
      </c>
      <c r="I14" t="s">
        <v>184</v>
      </c>
    </row>
    <row r="15" spans="1:16" x14ac:dyDescent="0.3">
      <c r="A15" t="s">
        <v>22</v>
      </c>
      <c r="B15" t="s">
        <v>163</v>
      </c>
      <c r="D15" t="s">
        <v>174</v>
      </c>
      <c r="E15" s="10">
        <v>62158</v>
      </c>
      <c r="F15" s="2">
        <v>42099</v>
      </c>
      <c r="G15" s="12">
        <v>4</v>
      </c>
      <c r="I15" t="s">
        <v>184</v>
      </c>
    </row>
    <row r="16" spans="1:16" x14ac:dyDescent="0.3">
      <c r="A16" t="s">
        <v>23</v>
      </c>
      <c r="B16" t="s">
        <v>162</v>
      </c>
      <c r="C16" t="s">
        <v>167</v>
      </c>
      <c r="E16" s="10">
        <v>59894</v>
      </c>
      <c r="F16" s="2">
        <v>42106</v>
      </c>
      <c r="G16" s="12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0">
        <v>92443</v>
      </c>
      <c r="F17" s="2">
        <v>42113</v>
      </c>
      <c r="G17" s="12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0">
        <v>90271</v>
      </c>
      <c r="F18" s="2">
        <v>42120</v>
      </c>
      <c r="G18" s="12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0">
        <v>41341</v>
      </c>
      <c r="F19" s="2">
        <v>42127</v>
      </c>
      <c r="G19" s="12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0">
        <v>73602</v>
      </c>
      <c r="F20" s="2">
        <v>42134</v>
      </c>
      <c r="G20" s="12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0">
        <v>67531</v>
      </c>
      <c r="F21" s="2">
        <v>42141</v>
      </c>
      <c r="G21" s="12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0" t="s">
        <v>177</v>
      </c>
      <c r="F22" s="2">
        <v>42148</v>
      </c>
      <c r="G22" s="1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0">
        <v>98922</v>
      </c>
      <c r="F23" s="2">
        <v>42155</v>
      </c>
      <c r="G23" s="12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0">
        <v>38333</v>
      </c>
      <c r="F24" s="2">
        <v>42162</v>
      </c>
      <c r="G24" s="12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0">
        <v>36515</v>
      </c>
      <c r="F25" s="2">
        <v>42169</v>
      </c>
      <c r="G25" s="12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0">
        <v>91005</v>
      </c>
      <c r="F26" s="2">
        <v>42176</v>
      </c>
      <c r="G26" s="12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0">
        <v>52272</v>
      </c>
      <c r="F27" s="2">
        <v>42183</v>
      </c>
      <c r="G27" s="12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0">
        <v>76518</v>
      </c>
      <c r="F28" s="2">
        <v>42190</v>
      </c>
      <c r="G28" s="12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0">
        <v>41448</v>
      </c>
      <c r="F29" s="2">
        <v>42197</v>
      </c>
      <c r="G29" s="12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0">
        <v>49282</v>
      </c>
      <c r="F30" s="2">
        <v>42204</v>
      </c>
      <c r="G30" s="12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0">
        <v>92959</v>
      </c>
      <c r="F31" s="2">
        <v>42211</v>
      </c>
      <c r="G31" s="12">
        <v>5</v>
      </c>
      <c r="I31" t="s">
        <v>184</v>
      </c>
    </row>
    <row r="32" spans="1:9" x14ac:dyDescent="0.3">
      <c r="A32" t="s">
        <v>39</v>
      </c>
      <c r="C32" t="s">
        <v>170</v>
      </c>
      <c r="E32" s="10">
        <v>92259</v>
      </c>
      <c r="G32" s="1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0">
        <v>92299</v>
      </c>
      <c r="F33" s="2">
        <v>42225</v>
      </c>
      <c r="G33" s="12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0">
        <v>95586</v>
      </c>
      <c r="F34" s="2">
        <v>42232</v>
      </c>
      <c r="G34" s="12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0">
        <v>95367</v>
      </c>
      <c r="F35" s="2">
        <v>42239</v>
      </c>
      <c r="G35" s="12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0">
        <v>79549</v>
      </c>
      <c r="F36" s="2">
        <v>42246</v>
      </c>
      <c r="G36" s="12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0">
        <v>54463</v>
      </c>
      <c r="F37" s="2">
        <v>42253</v>
      </c>
      <c r="G37" s="12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0">
        <v>89781</v>
      </c>
      <c r="F38" s="2">
        <v>42260</v>
      </c>
      <c r="G38" s="12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0">
        <v>64796</v>
      </c>
      <c r="F39" s="2">
        <v>42267</v>
      </c>
      <c r="G39" s="12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0">
        <v>52093</v>
      </c>
      <c r="F40" s="2">
        <v>42274</v>
      </c>
      <c r="G40" s="12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0">
        <v>48224</v>
      </c>
      <c r="F41" s="2">
        <v>42281</v>
      </c>
      <c r="G41" s="12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0" t="s">
        <v>177</v>
      </c>
      <c r="G42" s="1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0">
        <v>33956</v>
      </c>
      <c r="F43" s="2">
        <v>42295</v>
      </c>
      <c r="G43" s="12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0">
        <v>64913</v>
      </c>
      <c r="F44" s="2">
        <v>42302</v>
      </c>
      <c r="G44" s="12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0">
        <v>35326</v>
      </c>
      <c r="F45" s="2">
        <v>42309</v>
      </c>
      <c r="G45" s="12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0">
        <v>81610</v>
      </c>
      <c r="F46" s="2">
        <v>42316</v>
      </c>
      <c r="G46" s="12">
        <v>1</v>
      </c>
      <c r="I46" t="s">
        <v>184</v>
      </c>
    </row>
    <row r="47" spans="1:9" x14ac:dyDescent="0.3">
      <c r="A47" t="s">
        <v>54</v>
      </c>
      <c r="C47" t="s">
        <v>167</v>
      </c>
      <c r="E47" s="10">
        <v>58962</v>
      </c>
      <c r="F47" s="2">
        <v>42323</v>
      </c>
      <c r="G47" s="12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0">
        <v>92701</v>
      </c>
      <c r="F48" s="2">
        <v>42330</v>
      </c>
      <c r="G48" s="12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0">
        <v>58245</v>
      </c>
      <c r="F49" s="2">
        <v>42337</v>
      </c>
      <c r="G49" s="12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0">
        <v>66513</v>
      </c>
      <c r="F50" s="2">
        <v>42344</v>
      </c>
      <c r="G50" s="12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0">
        <v>78720</v>
      </c>
      <c r="F51" s="2">
        <v>42351</v>
      </c>
      <c r="G51" s="12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0">
        <v>30686</v>
      </c>
      <c r="G52" s="1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0">
        <v>39423</v>
      </c>
      <c r="F53" s="2">
        <v>42365</v>
      </c>
      <c r="G53" s="12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0">
        <v>30280</v>
      </c>
      <c r="F54" s="2">
        <v>42372</v>
      </c>
      <c r="G54" s="12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0">
        <v>33352</v>
      </c>
      <c r="F55" s="2">
        <v>42379</v>
      </c>
      <c r="G55" s="12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0">
        <v>75633</v>
      </c>
      <c r="F56" s="2">
        <v>42386</v>
      </c>
      <c r="G56" s="12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0">
        <v>74815</v>
      </c>
      <c r="F57" s="2">
        <v>42393</v>
      </c>
      <c r="G57" s="12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0">
        <v>60011</v>
      </c>
      <c r="F58" s="2">
        <v>42400</v>
      </c>
      <c r="G58" s="12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0">
        <v>96949</v>
      </c>
      <c r="F59" s="2">
        <v>42407</v>
      </c>
      <c r="G59" s="12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0">
        <v>84924</v>
      </c>
      <c r="F60" s="2">
        <v>42414</v>
      </c>
      <c r="G60" s="12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0">
        <v>82033</v>
      </c>
      <c r="F61" s="2">
        <v>42421</v>
      </c>
      <c r="G61" s="12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0" t="s">
        <v>177</v>
      </c>
      <c r="G62" s="1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0">
        <v>31499</v>
      </c>
      <c r="F63" s="2">
        <v>42435</v>
      </c>
      <c r="G63" s="12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0">
        <v>97981</v>
      </c>
      <c r="F64" s="2">
        <v>42442</v>
      </c>
      <c r="G64" s="12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0">
        <v>36541</v>
      </c>
      <c r="F65" s="2">
        <v>42449</v>
      </c>
      <c r="G65" s="12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0">
        <v>84737</v>
      </c>
      <c r="F66" s="2">
        <v>42456</v>
      </c>
      <c r="G66" s="12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0">
        <v>33468</v>
      </c>
      <c r="F67" s="2">
        <v>42463</v>
      </c>
      <c r="G67" s="12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0">
        <v>96365</v>
      </c>
      <c r="F68" s="2">
        <v>42470</v>
      </c>
      <c r="G68" s="12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0">
        <v>61942</v>
      </c>
      <c r="F69" s="2">
        <v>42477</v>
      </c>
      <c r="G69" s="12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0">
        <v>41467</v>
      </c>
      <c r="F70" s="2">
        <v>42484</v>
      </c>
      <c r="G70" s="12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0">
        <v>77096</v>
      </c>
      <c r="F71" s="2">
        <v>42491</v>
      </c>
      <c r="G71" s="12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0">
        <v>69952</v>
      </c>
      <c r="F72" s="2">
        <v>42498</v>
      </c>
      <c r="G72" s="1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0">
        <v>85065</v>
      </c>
      <c r="F73" s="2">
        <v>42505</v>
      </c>
      <c r="G73" s="12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0">
        <v>56512</v>
      </c>
      <c r="F74" s="2">
        <v>42512</v>
      </c>
      <c r="G74" s="12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0">
        <v>91101</v>
      </c>
      <c r="F75" s="2">
        <v>42519</v>
      </c>
      <c r="G75" s="12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0">
        <v>41243</v>
      </c>
      <c r="F76" s="2">
        <v>42526</v>
      </c>
      <c r="G76" s="12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0">
        <v>96142</v>
      </c>
      <c r="F77" s="2">
        <v>42533</v>
      </c>
      <c r="G77" s="12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0">
        <v>94301</v>
      </c>
      <c r="F78" s="2">
        <v>42540</v>
      </c>
      <c r="G78" s="12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0">
        <v>69166</v>
      </c>
      <c r="F79" s="2">
        <v>42547</v>
      </c>
      <c r="G79" s="12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0">
        <v>78245</v>
      </c>
      <c r="F80" s="2">
        <v>42554</v>
      </c>
      <c r="G80" s="12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0">
        <v>66079</v>
      </c>
      <c r="F81" s="2">
        <v>42561</v>
      </c>
      <c r="G81" s="12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0" t="s">
        <v>177</v>
      </c>
      <c r="G82" s="12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0">
        <v>95621</v>
      </c>
      <c r="F83" s="2">
        <v>42575</v>
      </c>
      <c r="G83" s="12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0">
        <v>42262</v>
      </c>
      <c r="F84" s="2">
        <v>42582</v>
      </c>
      <c r="G84" s="12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0">
        <v>99621</v>
      </c>
      <c r="F85" s="2">
        <v>42589</v>
      </c>
      <c r="G85" s="12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0">
        <v>44682</v>
      </c>
      <c r="F86" s="2">
        <v>42596</v>
      </c>
      <c r="G86" s="12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0">
        <v>35163</v>
      </c>
      <c r="F87" s="2">
        <v>42603</v>
      </c>
      <c r="G87" s="12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0">
        <v>33483</v>
      </c>
      <c r="F88" s="2">
        <v>42610</v>
      </c>
      <c r="G88" s="12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0">
        <v>55303</v>
      </c>
      <c r="F89" s="2">
        <v>42617</v>
      </c>
      <c r="G89" s="12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0">
        <v>63434</v>
      </c>
      <c r="F90" s="2">
        <v>42624</v>
      </c>
      <c r="G90" s="12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0">
        <v>38830</v>
      </c>
      <c r="F91" s="2">
        <v>42631</v>
      </c>
      <c r="G91" s="12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0">
        <v>50741</v>
      </c>
      <c r="F92" s="2">
        <v>42638</v>
      </c>
      <c r="G92" s="1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0">
        <v>69420</v>
      </c>
      <c r="F93" s="2">
        <v>42645</v>
      </c>
      <c r="G93" s="12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0">
        <v>80588</v>
      </c>
      <c r="F94" s="2">
        <v>42652</v>
      </c>
      <c r="G94" s="12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0">
        <v>76238</v>
      </c>
      <c r="F95" s="2">
        <v>42659</v>
      </c>
      <c r="G95" s="12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0">
        <v>33264</v>
      </c>
      <c r="F96" s="2">
        <v>42666</v>
      </c>
      <c r="G96" s="12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0">
        <v>96101</v>
      </c>
      <c r="F97" s="2">
        <v>42673</v>
      </c>
      <c r="G97" s="12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0">
        <v>72939</v>
      </c>
      <c r="F98" s="2">
        <v>42680</v>
      </c>
      <c r="G98" s="12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0">
        <v>89333</v>
      </c>
      <c r="F99" s="2">
        <v>42687</v>
      </c>
      <c r="G99" s="12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0">
        <v>70470</v>
      </c>
      <c r="F100" s="2">
        <v>42694</v>
      </c>
      <c r="G100" s="12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0">
        <v>70096</v>
      </c>
      <c r="F101" s="2">
        <v>42701</v>
      </c>
      <c r="G101" s="12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0" t="s">
        <v>177</v>
      </c>
      <c r="F102" s="2">
        <v>42708</v>
      </c>
      <c r="G102" s="1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0">
        <v>66503</v>
      </c>
      <c r="F103" s="2">
        <v>42715</v>
      </c>
      <c r="G103" s="12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0">
        <v>42096</v>
      </c>
      <c r="F104" s="2">
        <v>42722</v>
      </c>
      <c r="G104" s="12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0">
        <v>79145</v>
      </c>
      <c r="F105" s="2">
        <v>42729</v>
      </c>
      <c r="G105" s="12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0">
        <v>61556</v>
      </c>
      <c r="F106" s="2">
        <v>42736</v>
      </c>
      <c r="G106" s="12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0">
        <v>87963</v>
      </c>
      <c r="F107" s="2">
        <v>42743</v>
      </c>
      <c r="G107" s="12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0">
        <v>48325</v>
      </c>
      <c r="F108" s="2">
        <v>42750</v>
      </c>
      <c r="G108" s="12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0">
        <v>86412</v>
      </c>
      <c r="F109" s="2">
        <v>42757</v>
      </c>
      <c r="G109" s="12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0">
        <v>66761</v>
      </c>
      <c r="F110" s="2">
        <v>42764</v>
      </c>
      <c r="G110" s="12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0">
        <v>88850</v>
      </c>
      <c r="F111" s="2">
        <v>42771</v>
      </c>
      <c r="G111" s="12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0">
        <v>31293</v>
      </c>
      <c r="G112" s="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0">
        <v>34306</v>
      </c>
      <c r="F113" s="2">
        <v>42785</v>
      </c>
      <c r="G113" s="12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0">
        <v>78330</v>
      </c>
      <c r="F114" s="2">
        <v>42792</v>
      </c>
      <c r="G114" s="12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0">
        <v>47653</v>
      </c>
      <c r="F115" s="2">
        <v>42799</v>
      </c>
      <c r="G115" s="12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0">
        <v>44627</v>
      </c>
      <c r="F116" s="2">
        <v>42806</v>
      </c>
      <c r="G116" s="12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0">
        <v>92343</v>
      </c>
      <c r="F117" s="2">
        <v>42813</v>
      </c>
      <c r="G117" s="12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0">
        <v>38837</v>
      </c>
      <c r="F118" s="2">
        <v>42820</v>
      </c>
      <c r="G118" s="12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0">
        <v>73483</v>
      </c>
      <c r="F119" s="2">
        <v>42827</v>
      </c>
      <c r="G119" s="12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0">
        <v>95032</v>
      </c>
      <c r="F120" s="2">
        <v>42834</v>
      </c>
      <c r="G120" s="12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0">
        <v>44358</v>
      </c>
      <c r="F121" s="2">
        <v>42841</v>
      </c>
      <c r="G121" s="12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0" t="s">
        <v>177</v>
      </c>
      <c r="G122" s="1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0">
        <v>45676</v>
      </c>
      <c r="F123" s="2">
        <v>42855</v>
      </c>
      <c r="G123" s="12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0">
        <v>52036</v>
      </c>
      <c r="F124" s="2">
        <v>42862</v>
      </c>
      <c r="G124" s="12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0">
        <v>30357</v>
      </c>
      <c r="F125" s="2">
        <v>42869</v>
      </c>
      <c r="G125" s="12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0">
        <v>60034</v>
      </c>
      <c r="F126" s="2">
        <v>42876</v>
      </c>
      <c r="G126" s="12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0">
        <v>90019</v>
      </c>
      <c r="F127" s="2">
        <v>42883</v>
      </c>
      <c r="G127" s="12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0">
        <v>71494</v>
      </c>
      <c r="F128" s="2">
        <v>42890</v>
      </c>
      <c r="G128" s="12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0">
        <v>91953</v>
      </c>
      <c r="F129" s="2">
        <v>42897</v>
      </c>
      <c r="G129" s="12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0">
        <v>30402</v>
      </c>
      <c r="F130" s="2">
        <v>42904</v>
      </c>
      <c r="G130" s="12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0">
        <v>62994</v>
      </c>
      <c r="F131" s="2">
        <v>42911</v>
      </c>
      <c r="G131" s="12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0">
        <v>48289</v>
      </c>
      <c r="G132" s="1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0">
        <v>34402</v>
      </c>
      <c r="F133" s="2">
        <v>42925</v>
      </c>
      <c r="G133" s="12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0">
        <v>38678</v>
      </c>
      <c r="F134" s="2">
        <v>42932</v>
      </c>
      <c r="G134" s="12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0">
        <v>45758</v>
      </c>
      <c r="F135" s="2">
        <v>42939</v>
      </c>
      <c r="G135" s="12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0">
        <v>62476</v>
      </c>
      <c r="F136" s="2">
        <v>42946</v>
      </c>
      <c r="G136" s="12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0">
        <v>39280</v>
      </c>
      <c r="F137" s="2">
        <v>42953</v>
      </c>
      <c r="G137" s="12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0">
        <v>60335</v>
      </c>
      <c r="F138" s="2">
        <v>42960</v>
      </c>
      <c r="G138" s="12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0">
        <v>84968</v>
      </c>
      <c r="F139" s="2">
        <v>42967</v>
      </c>
      <c r="G139" s="12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0">
        <v>84750</v>
      </c>
      <c r="F140" s="2">
        <v>42974</v>
      </c>
      <c r="G140" s="12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0">
        <v>73348</v>
      </c>
      <c r="F141" s="2">
        <v>42981</v>
      </c>
      <c r="G141" s="12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0" t="s">
        <v>177</v>
      </c>
      <c r="F142" s="2">
        <v>42988</v>
      </c>
      <c r="G142" s="1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0">
        <v>66882</v>
      </c>
      <c r="F143" s="2">
        <v>42995</v>
      </c>
      <c r="G143" s="12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0">
        <v>86775</v>
      </c>
      <c r="F144" s="2">
        <v>43002</v>
      </c>
      <c r="G144" s="12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0">
        <v>91620</v>
      </c>
      <c r="F145" s="2">
        <v>43009</v>
      </c>
      <c r="G145" s="12"/>
      <c r="I145" t="s">
        <v>184</v>
      </c>
    </row>
    <row r="146" spans="1:9" x14ac:dyDescent="0.3">
      <c r="A146" t="s">
        <v>153</v>
      </c>
      <c r="B146" t="s">
        <v>159</v>
      </c>
      <c r="E146" s="10">
        <v>94148</v>
      </c>
      <c r="F146" s="2">
        <v>43016</v>
      </c>
      <c r="G146" s="12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0">
        <v>35627</v>
      </c>
      <c r="F147" s="2">
        <v>43023</v>
      </c>
      <c r="G147" s="12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0">
        <v>57141</v>
      </c>
      <c r="F148" s="2">
        <v>43030</v>
      </c>
      <c r="G148" s="12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0">
        <v>65270</v>
      </c>
      <c r="F149" s="2">
        <v>43037</v>
      </c>
      <c r="G149" s="12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0">
        <v>67335</v>
      </c>
      <c r="F150" s="2">
        <v>43044</v>
      </c>
      <c r="G150" s="12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0">
        <v>98475</v>
      </c>
      <c r="F151" s="2">
        <v>43051</v>
      </c>
      <c r="G151" s="12">
        <v>5</v>
      </c>
      <c r="H151" t="s">
        <v>179</v>
      </c>
      <c r="I151" t="s">
        <v>184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Task3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Masthabanu S</dc:creator>
  <cp:lastModifiedBy>Masthabanu S</cp:lastModifiedBy>
  <dcterms:created xsi:type="dcterms:W3CDTF">2025-05-31T18:11:07Z</dcterms:created>
  <dcterms:modified xsi:type="dcterms:W3CDTF">2026-01-31T13:53:48Z</dcterms:modified>
</cp:coreProperties>
</file>