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13_ncr:1_{4FCBA383-D624-4C09-A61B-59E7F4EEE8A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sk1" sheetId="2" r:id="rId1"/>
    <sheet name="Task2" sheetId="3" r:id="rId2"/>
    <sheet name="Task3" sheetId="4" r:id="rId3"/>
    <sheet name="Sheet1" sheetId="1" r:id="rId4"/>
    <sheet name="Task4" sheetId="5" r:id="rId5"/>
    <sheet name="Task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6" l="1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2" i="5"/>
  <c r="L4" i="5"/>
  <c r="L5" i="5"/>
  <c r="L3" i="5"/>
  <c r="L2" i="5"/>
  <c r="N4" i="4"/>
  <c r="M4" i="4"/>
  <c r="L4" i="4"/>
  <c r="N3" i="4"/>
  <c r="M3" i="4"/>
  <c r="L3" i="4"/>
</calcChain>
</file>

<file path=xl/sharedStrings.xml><?xml version="1.0" encoding="utf-8"?>
<sst xmlns="http://schemas.openxmlformats.org/spreadsheetml/2006/main" count="4252" uniqueCount="217">
  <si>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</si>
  <si>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</si>
  <si>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</si>
  <si>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</si>
  <si>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</si>
  <si>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</si>
  <si>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</si>
  <si>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</si>
  <si>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</si>
  <si>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</si>
  <si>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</si>
  <si>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</si>
  <si>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</si>
  <si>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</si>
  <si>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</si>
  <si>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</si>
  <si>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</si>
  <si>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</si>
  <si>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</si>
  <si>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</si>
  <si>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</si>
  <si>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</si>
  <si>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</si>
  <si>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</si>
  <si>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</si>
  <si>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</si>
  <si>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</si>
  <si>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</si>
  <si>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</si>
  <si>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</si>
  <si>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</si>
  <si>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</si>
  <si>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</si>
  <si>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</si>
  <si>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</si>
  <si>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</si>
  <si>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</si>
  <si>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</si>
  <si>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</si>
  <si>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</si>
  <si>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</si>
  <si>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</si>
  <si>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</si>
  <si>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</si>
  <si>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</si>
  <si>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</si>
  <si>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</si>
  <si>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</si>
  <si>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</si>
  <si>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</si>
  <si>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</si>
  <si>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</si>
  <si>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</si>
  <si>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</si>
  <si>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</si>
  <si>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</si>
  <si>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</si>
  <si>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</si>
  <si>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</si>
  <si>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</si>
  <si>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</si>
  <si>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</si>
  <si>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</si>
  <si>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</si>
  <si>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</si>
  <si>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</si>
  <si>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</si>
  <si>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</si>
  <si>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</si>
  <si>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</si>
  <si>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</si>
  <si>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</si>
  <si>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</si>
  <si>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</si>
  <si>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</si>
  <si>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</si>
  <si>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</si>
  <si>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</si>
  <si>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</si>
  <si>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</si>
  <si>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</si>
  <si>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</si>
  <si>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</si>
  <si>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</si>
  <si>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</si>
  <si>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</si>
  <si>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</si>
  <si>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</si>
  <si>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</si>
  <si>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</si>
  <si>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</si>
  <si>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</si>
  <si>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</si>
  <si>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</si>
  <si>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</si>
  <si>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</si>
  <si>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</si>
  <si>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</si>
  <si>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</si>
  <si>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</si>
  <si>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</si>
  <si>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</si>
  <si>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</si>
  <si>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</si>
  <si>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</si>
  <si>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</si>
  <si>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</si>
  <si>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</si>
  <si>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</si>
  <si>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</si>
  <si>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</si>
  <si>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</si>
  <si>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</si>
  <si>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</si>
  <si>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</si>
  <si>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</si>
  <si>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</si>
  <si>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</si>
  <si>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</si>
  <si>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</si>
  <si>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</si>
  <si>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</si>
  <si>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</si>
  <si>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</si>
  <si>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</si>
  <si>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</si>
  <si>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</si>
  <si>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</si>
  <si>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</si>
  <si>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</si>
  <si>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</si>
  <si>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</si>
  <si>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</si>
  <si>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</si>
  <si>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</si>
  <si>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</si>
  <si>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</si>
  <si>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</si>
  <si>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</si>
  <si>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</si>
  <si>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</si>
  <si>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</si>
  <si>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</si>
  <si>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</si>
  <si>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</si>
  <si>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</si>
  <si>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</si>
  <si>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</si>
  <si>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</si>
  <si>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</si>
  <si>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</si>
  <si>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</si>
  <si>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</si>
  <si>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</si>
  <si>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</si>
  <si>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</si>
  <si>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</si>
  <si>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</si>
  <si>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</si>
  <si>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</si>
  <si>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</si>
  <si>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</si>
  <si>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</si>
  <si>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</si>
  <si>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</si>
  <si>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</si>
  <si>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</si>
  <si>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</si>
  <si>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</si>
  <si>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</si>
  <si>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</si>
  <si>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</si>
  <si>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</si>
  <si>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</si>
  <si>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</si>
  <si>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</si>
  <si>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</si>
  <si>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</si>
  <si>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</si>
  <si>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</si>
  <si>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</si>
  <si>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</si>
  <si>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</si>
  <si>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</si>
  <si>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</si>
  <si>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r>
      <t xml:space="preserve">1)The dataset contains </t>
    </r>
    <r>
      <rPr>
        <b/>
        <sz val="11"/>
        <color theme="1"/>
        <rFont val="Calibri"/>
        <family val="2"/>
        <scheme val="minor"/>
      </rPr>
      <t>151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rows</t>
    </r>
    <r>
      <rPr>
        <sz val="11"/>
        <color theme="1"/>
        <rFont val="Calibri"/>
        <family val="2"/>
        <scheme val="minor"/>
      </rPr>
      <t xml:space="preserve"> including </t>
    </r>
    <r>
      <rPr>
        <b/>
        <sz val="11"/>
        <color theme="1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columns</t>
    </r>
  </si>
  <si>
    <r>
      <t>2)</t>
    </r>
    <r>
      <rPr>
        <b/>
        <sz val="11"/>
        <color theme="1"/>
        <rFont val="Calibri"/>
        <family val="2"/>
        <scheme val="minor"/>
      </rPr>
      <t>Numerical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data:</t>
    </r>
    <r>
      <rPr>
        <sz val="11"/>
        <color theme="1"/>
        <rFont val="Calibri"/>
        <family val="2"/>
        <scheme val="minor"/>
      </rPr>
      <t xml:space="preserve"> Salary, Date of joining, Performance rating    </t>
    </r>
    <r>
      <rPr>
        <b/>
        <sz val="11"/>
        <color theme="1"/>
        <rFont val="Calibri"/>
        <family val="2"/>
        <scheme val="minor"/>
      </rPr>
      <t>Categorical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Data: </t>
    </r>
    <r>
      <rPr>
        <sz val="11"/>
        <color theme="1"/>
        <rFont val="Calibri"/>
        <family val="2"/>
        <scheme val="minor"/>
      </rPr>
      <t>Employee ID, name, Department, country, gender, email</t>
    </r>
  </si>
  <si>
    <r>
      <t xml:space="preserve">8)Some records in </t>
    </r>
    <r>
      <rPr>
        <b/>
        <sz val="11"/>
        <color theme="1"/>
        <rFont val="Calibri"/>
        <family val="2"/>
        <scheme val="minor"/>
      </rPr>
      <t>salary</t>
    </r>
    <r>
      <rPr>
        <sz val="11"/>
        <color theme="1"/>
        <rFont val="Calibri"/>
        <family val="2"/>
        <scheme val="minor"/>
      </rPr>
      <t xml:space="preserve"> contain </t>
    </r>
    <r>
      <rPr>
        <b/>
        <sz val="11"/>
        <color theme="1"/>
        <rFont val="Calibri"/>
        <family val="2"/>
        <scheme val="minor"/>
      </rPr>
      <t>N/A</t>
    </r>
    <r>
      <rPr>
        <sz val="11"/>
        <color theme="1"/>
        <rFont val="Calibri"/>
        <family val="2"/>
        <scheme val="minor"/>
      </rPr>
      <t xml:space="preserve"> values</t>
    </r>
  </si>
  <si>
    <r>
      <t xml:space="preserve">5)In some records they mentioned </t>
    </r>
    <r>
      <rPr>
        <b/>
        <sz val="11"/>
        <color theme="1"/>
        <rFont val="Calibri"/>
        <family val="2"/>
        <scheme val="minor"/>
      </rPr>
      <t>gender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</si>
  <si>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3)Some columns </t>
    </r>
    <r>
      <rPr>
        <b/>
        <sz val="11"/>
        <color theme="1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and their </t>
    </r>
    <r>
      <rPr>
        <b/>
        <sz val="11"/>
        <color theme="1"/>
        <rFont val="Calibri"/>
        <family val="2"/>
        <scheme val="minor"/>
      </rPr>
      <t>values</t>
    </r>
    <r>
      <rPr>
        <sz val="11"/>
        <color theme="1"/>
        <rFont val="Calibri"/>
        <family val="2"/>
        <scheme val="minor"/>
      </rPr>
      <t xml:space="preserve"> are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visible</t>
    </r>
    <r>
      <rPr>
        <sz val="11"/>
        <color theme="1"/>
        <rFont val="Calibri"/>
        <family val="2"/>
        <scheme val="minor"/>
      </rPr>
      <t xml:space="preserve"> in cells because of </t>
    </r>
    <r>
      <rPr>
        <b/>
        <sz val="11"/>
        <color theme="1"/>
        <rFont val="Calibri"/>
        <family val="2"/>
        <scheme val="minor"/>
      </rPr>
      <t>insufficient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column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width</t>
    </r>
  </si>
  <si>
    <r>
      <t>4)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the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are </t>
    </r>
    <r>
      <rPr>
        <b/>
        <sz val="11"/>
        <color theme="1"/>
        <rFont val="Calibri"/>
        <family val="2"/>
        <scheme val="minor"/>
      </rPr>
      <t>missing</t>
    </r>
    <r>
      <rPr>
        <sz val="11"/>
        <color theme="1"/>
        <rFont val="Calibri"/>
        <family val="2"/>
        <scheme val="minor"/>
      </rPr>
      <t xml:space="preserve"> in some records</t>
    </r>
  </si>
  <si>
    <r>
      <t xml:space="preserve">7)Some datas in </t>
    </r>
    <r>
      <rPr>
        <b/>
        <sz val="11"/>
        <color theme="1"/>
        <rFont val="Calibri"/>
        <family val="2"/>
        <scheme val="minor"/>
      </rPr>
      <t>department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country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gender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performance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joining</t>
    </r>
    <r>
      <rPr>
        <sz val="11"/>
        <color theme="1"/>
        <rFont val="Calibri"/>
        <family val="2"/>
        <scheme val="minor"/>
      </rPr>
      <t xml:space="preserve"> are also </t>
    </r>
    <r>
      <rPr>
        <b/>
        <sz val="11"/>
        <color theme="1"/>
        <rFont val="Calibri"/>
        <family val="2"/>
        <scheme val="minor"/>
      </rPr>
      <t>missing</t>
    </r>
  </si>
  <si>
    <t>OBSERVATION :</t>
  </si>
  <si>
    <t xml:space="preserve">       Column width were adjusted to improve data visibilty </t>
  </si>
  <si>
    <t xml:space="preserve">       The header row is formatted with bold black text and center alignment with blue background </t>
  </si>
  <si>
    <t>Total</t>
  </si>
  <si>
    <t>Average</t>
  </si>
  <si>
    <t>Count</t>
  </si>
  <si>
    <t>Observation :</t>
  </si>
  <si>
    <t xml:space="preserve">     No.Of Employees earning above 50,000</t>
  </si>
  <si>
    <t xml:space="preserve">     No.Of Employees earning lessthan 50,000</t>
  </si>
  <si>
    <t>Rating</t>
  </si>
  <si>
    <t xml:space="preserve">     Average salary of employee above 50,000</t>
  </si>
  <si>
    <t xml:space="preserve">     Sum of salary above 50,000</t>
  </si>
  <si>
    <t>If function was used to categorize performance ratings into excellent, good and poor</t>
  </si>
  <si>
    <t>Bad</t>
  </si>
  <si>
    <t/>
  </si>
  <si>
    <t>Excellent</t>
  </si>
  <si>
    <t>Good</t>
  </si>
  <si>
    <t>UPPER</t>
  </si>
  <si>
    <t>LOWER</t>
  </si>
  <si>
    <t>LEFT</t>
  </si>
  <si>
    <t>RIGHT</t>
  </si>
  <si>
    <t>PROPER</t>
  </si>
  <si>
    <r>
      <t xml:space="preserve">6)Except second data,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records</t>
    </r>
    <r>
      <rPr>
        <sz val="11"/>
        <color theme="1"/>
        <rFont val="Calibri"/>
        <family val="2"/>
        <scheme val="minor"/>
      </rPr>
      <t xml:space="preserve"> contain </t>
    </r>
    <r>
      <rPr>
        <b/>
        <sz val="11"/>
        <color theme="1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ID</t>
    </r>
    <r>
      <rPr>
        <sz val="11"/>
        <color theme="1"/>
        <rFont val="Calibri"/>
        <family val="2"/>
        <scheme val="minor"/>
      </rPr>
      <t xml:space="preserve"> </t>
    </r>
  </si>
  <si>
    <t>MID</t>
  </si>
  <si>
    <t xml:space="preserve">       A table was created to manage the data easily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</si>
</sst>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₹&quot;\ #,##0.00"/>
    <numFmt numFmtId="166" formatCode="&quot;₹&quot;\ 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166" fontId="0" fillId="0" borderId="0" xfId="0" applyNumberFormat="1"/>
    <xf numFmtId="165" fontId="0" fillId="0" borderId="0" xfId="0" applyNumberFormat="1" applyAlignment="1">
      <alignment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" fillId="2" borderId="0" xfId="0" applyNumberFormat="1" applyFont="1" applyFill="1" applyAlignment="1">
      <alignment horizontal="center" vertical="top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C02E20-5792-499C-90B3-37A917AC501B}" name="Table1" displayName="Table1" ref="A1:I151" totalsRowShown="0" headerRowDxfId="23">
  <autoFilter ref="A1:I151" xr:uid="{B1C02E20-5792-499C-90B3-37A917AC501B}"/>
  <tableColumns count="9">
    <tableColumn id="1" xr3:uid="{468CA623-AE8C-4CE0-90A4-99153931DCC6}" name="Employee ID"/>
    <tableColumn id="2" xr3:uid="{89F13C53-D712-4B66-9DEC-B4B06120527E}" name="Name"/>
    <tableColumn id="3" xr3:uid="{0A129ACD-5AE7-4365-BCF3-703FD1064208}" name="Department"/>
    <tableColumn id="4" xr3:uid="{A05A99F0-FCAE-4F61-B3EF-B92C085D9A7B}" name="Country"/>
    <tableColumn id="5" xr3:uid="{F5E43B3C-32C1-4CC2-AEA2-F01737F391C5}" name="Salary" dataDxfId="22"/>
    <tableColumn id="6" xr3:uid="{C0D9E1C3-FD20-4DE9-A2C0-594337FE461C}" name="Date of Joining" dataDxfId="21"/>
    <tableColumn id="7" xr3:uid="{A2A3B857-EAA5-4ED2-A35A-626E17084C99}" name="Performance Rating" dataDxfId="20"/>
    <tableColumn id="8" xr3:uid="{1C96DBBF-7A75-4D1D-98C9-44165C50C733}" name="Gender"/>
    <tableColumn id="9" xr3:uid="{B3F82AA9-7EEF-4433-8EB3-CF4945B5798F}" name="Email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DE684C-6A5A-4A8F-8117-DFBE9D30DFDD}" name="Table3" displayName="Table3" ref="A1:I151" totalsRowShown="0" headerRowDxfId="19">
  <autoFilter ref="A1:I151" xr:uid="{54DE684C-6A5A-4A8F-8117-DFBE9D30DFDD}"/>
  <tableColumns count="9">
    <tableColumn id="1" xr3:uid="{158B9821-D1EE-4AA2-9A49-D48323110A99}" name="Employee ID"/>
    <tableColumn id="2" xr3:uid="{F9838E8E-4069-42CB-88E3-F95B357133EB}" name="Name"/>
    <tableColumn id="3" xr3:uid="{597FDAD8-0D3F-4B37-8D6A-AD643289527A}" name="Department"/>
    <tableColumn id="4" xr3:uid="{396CDCCD-1C45-4B6D-8887-CA53B3BF83DB}" name="Country"/>
    <tableColumn id="5" xr3:uid="{B09CE173-B27E-4A28-87D8-50D4D7AD245E}" name="Salary" dataDxfId="18"/>
    <tableColumn id="6" xr3:uid="{73987AC6-46E1-4ECE-A50B-5F169BB20E39}" name="Date of Joining" dataDxfId="17"/>
    <tableColumn id="7" xr3:uid="{90926D54-C776-42D2-A16B-F1D2B77D00EE}" name="Performance Rating" dataDxfId="16"/>
    <tableColumn id="8" xr3:uid="{042A8258-3301-43C7-94F9-1CA6003E91F0}" name="Gender"/>
    <tableColumn id="9" xr3:uid="{1A01D989-D6BB-4573-A77C-A7CE3E6FB6DA}" name="Email"/>
  </tableColumns>
  <tableStyleInfo name="TableStyleMedium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764AC7-66AC-4A70-9B5E-23D8D9031032}" name="Table4" displayName="Table4" ref="A1:J152" totalsRowShown="0" headerRowDxfId="15">
  <autoFilter ref="A1:J152" xr:uid="{E7764AC7-66AC-4A70-9B5E-23D8D9031032}"/>
  <tableColumns count="10">
    <tableColumn id="1" xr3:uid="{AE8694A0-1F05-4360-A14A-252CFA1E09E8}" name="Employee ID"/>
    <tableColumn id="2" xr3:uid="{279BCF72-BD91-465F-BDD1-E0D17CB9ED83}" name="Name"/>
    <tableColumn id="3" xr3:uid="{7BCDA69D-ECAA-474B-8DC7-C12DA64C57CE}" name="Department"/>
    <tableColumn id="4" xr3:uid="{E1FAE4EA-F2AD-4D3C-BE5B-B61CBDAED9BE}" name="Country"/>
    <tableColumn id="5" xr3:uid="{7833C6C1-CD56-49ED-BC28-A602DB13820D}" name="Salary" dataDxfId="14"/>
    <tableColumn id="6" xr3:uid="{3B600F97-E7A1-415A-BDF9-494C7C45571E}" name="Date of Joining" dataDxfId="13"/>
    <tableColumn id="7" xr3:uid="{0B13802A-0379-483D-B701-16BCEE9CA5F7}" name="Performance Rating" dataDxfId="12"/>
    <tableColumn id="8" xr3:uid="{E12DBE94-938A-4332-A5FC-3F5782123FA2}" name="Rating" dataDxfId="11">
      <calculatedColumnFormula>IF(G2="","",IF(G2=5,"Excellent",IF(G2&gt;=3,"Good","Bad")))</calculatedColumnFormula>
    </tableColumn>
    <tableColumn id="9" xr3:uid="{B6AF51DF-E6F8-44A1-A325-681D41B377D6}" name="Gender"/>
    <tableColumn id="10" xr3:uid="{DD463E9E-230F-4ABC-8CA3-34AD77D8E351}" name="Email"/>
  </tableColumns>
  <tableStyleInfo name="TableStyleMedium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E2E6838-4EF7-44E4-8C9C-2AA03CEF33BB}" name="Table5" displayName="Table5" ref="A1:P152" totalsRowShown="0" headerRowDxfId="10">
  <autoFilter ref="A1:P152" xr:uid="{AE2E6838-4EF7-44E4-8C9C-2AA03CEF33BB}"/>
  <tableColumns count="16">
    <tableColumn id="1" xr3:uid="{612C69C0-74B0-45A8-A253-BDF748864554}" name="Employee ID"/>
    <tableColumn id="2" xr3:uid="{A7E4377B-BBC6-40B6-BF69-FB26790CC21E}" name="Name"/>
    <tableColumn id="3" xr3:uid="{D8B80945-3DFE-4BF2-AA80-2CD2690E25B3}" name="Department"/>
    <tableColumn id="4" xr3:uid="{382092F5-4EBA-400C-8663-B106D6F40CCC}" name="Country"/>
    <tableColumn id="5" xr3:uid="{66B59BF5-69F6-4F32-98EE-297459A60F67}" name="Salary" dataDxfId="9"/>
    <tableColumn id="6" xr3:uid="{984EC81F-1B2F-4A83-AB39-323FA56EFADB}" name="Date of Joining" dataDxfId="8"/>
    <tableColumn id="7" xr3:uid="{E83F3F8B-4B7D-4104-8178-7B30B24015FB}" name="Performance Rating" dataDxfId="7"/>
    <tableColumn id="8" xr3:uid="{28301FA2-F461-448D-BBB5-60417212D3F5}" name="Rating" dataDxfId="6"/>
    <tableColumn id="9" xr3:uid="{8D254137-B192-47F7-BFB3-CEA38BDDD1E7}" name="Gender"/>
    <tableColumn id="10" xr3:uid="{697178CE-494A-4203-9211-656135CE7837}" name="Email"/>
    <tableColumn id="11" xr3:uid="{AFDEEEFC-1204-4887-8125-C2595B5C119A}" name="UPPER" dataDxfId="5">
      <calculatedColumnFormula>UPPER(Table5[[#This Row],[Name]])</calculatedColumnFormula>
    </tableColumn>
    <tableColumn id="12" xr3:uid="{253D5F6F-2AED-4E28-9F07-99AB192708CB}" name="LOWER" dataDxfId="4">
      <calculatedColumnFormula>LOWER(Table5[[#This Row],[Name]])</calculatedColumnFormula>
    </tableColumn>
    <tableColumn id="16" xr3:uid="{B0921052-46DF-4FB9-9CEB-74136298DF7C}" name="PROPER" dataDxfId="3">
      <calculatedColumnFormula>PROPER(Table5[[#This Row],[Name]])</calculatedColumnFormula>
    </tableColumn>
    <tableColumn id="13" xr3:uid="{5C1A6350-356B-4F0D-AAEA-3F6CB21769BA}" name="LEFT" dataDxfId="2">
      <calculatedColumnFormula>LEFT(Table5[[#This Row],[Employee ID]],3)</calculatedColumnFormula>
    </tableColumn>
    <tableColumn id="15" xr3:uid="{6157EED3-EC60-40E1-9E05-1327EF3C0C81}" name="RIGHT" dataDxfId="1">
      <calculatedColumnFormula>RIGHT(Table5[[#This Row],[Employee ID]],4)</calculatedColumnFormula>
    </tableColumn>
    <tableColumn id="17" xr3:uid="{7BA1A2D1-7A40-477E-A248-C71E59C3F62D}" name="MID" dataDxfId="0">
      <calculatedColumnFormula>MID(Table5[[#This Row],[Email]],1,7)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11EBD-D3E1-47AA-8F1D-056B61A00034}">
  <dimension ref="A1:A8"/>
  <sheetViews>
    <sheetView zoomScale="102" zoomScaleNormal="102" workbookViewId="0">
      <selection activeCell="A6" sqref="A6"/>
    </sheetView>
  </sheetViews>
  <sheetFormatPr defaultRowHeight="14.4" x14ac:dyDescent="0.3"/>
  <cols>
    <col min="1" max="1" width="60.44140625" customWidth="1"/>
  </cols>
  <sheetData>
    <row r="1" spans="1:1" ht="20.399999999999999" customHeight="1" x14ac:dyDescent="0.3">
      <c r="A1" t="s">
        <v>185</v>
      </c>
    </row>
    <row r="2" spans="1:1" s="3" customFormat="1" ht="48.6" customHeight="1" x14ac:dyDescent="0.3">
      <c r="A2" s="3" t="s">
        <v>186</v>
      </c>
    </row>
    <row r="3" spans="1:1" ht="28.8" x14ac:dyDescent="0.3">
      <c r="A3" s="3" t="s">
        <v>189</v>
      </c>
    </row>
    <row r="4" spans="1:1" x14ac:dyDescent="0.3">
      <c r="A4" t="s">
        <v>190</v>
      </c>
    </row>
    <row r="5" spans="1:1" x14ac:dyDescent="0.3">
      <c r="A5" t="s">
        <v>188</v>
      </c>
    </row>
    <row r="6" spans="1:1" x14ac:dyDescent="0.3">
      <c r="A6" t="s">
        <v>214</v>
      </c>
    </row>
    <row r="7" spans="1:1" ht="28.8" x14ac:dyDescent="0.3">
      <c r="A7" s="3" t="s">
        <v>191</v>
      </c>
    </row>
    <row r="8" spans="1:1" x14ac:dyDescent="0.3">
      <c r="A8" t="s">
        <v>187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0733E-4F2E-46C8-9737-96596BB6655B}">
  <dimension ref="A1:K152"/>
  <sheetViews>
    <sheetView tabSelected="1" topLeftCell="C126" workbookViewId="0">
      <selection activeCell="K152" sqref="K152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1.5546875" bestFit="1" customWidth="1"/>
    <col min="9" max="9" width="20.44140625" bestFit="1" customWidth="1"/>
    <col min="10" max="10" width="6.33203125" customWidth="1"/>
    <col min="11" max="11" width="80.88671875" style="3" bestFit="1" customWidth="1"/>
  </cols>
  <sheetData>
    <row r="1" spans="1:11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13" t="s">
        <v>7</v>
      </c>
      <c r="I1" s="13" t="s">
        <v>8</v>
      </c>
    </row>
    <row r="2" spans="1:11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t="s">
        <v>178</v>
      </c>
      <c r="I2" t="s">
        <v>182</v>
      </c>
    </row>
    <row r="3" spans="1:11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t="s">
        <v>179</v>
      </c>
      <c r="I3" t="s">
        <v>183</v>
      </c>
    </row>
    <row r="4" spans="1:11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I4" t="s">
        <v>184</v>
      </c>
      <c r="K4" s="4" t="s">
        <v>192</v>
      </c>
    </row>
    <row r="5" spans="1:11" ht="13.8" customHeight="1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t="s">
        <v>180</v>
      </c>
      <c r="I5" t="s">
        <v>184</v>
      </c>
      <c r="K5" s="5" t="s">
        <v>193</v>
      </c>
    </row>
    <row r="6" spans="1:11" ht="14.4" customHeight="1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t="s">
        <v>180</v>
      </c>
      <c r="I6" t="s">
        <v>184</v>
      </c>
      <c r="K6" s="3" t="s">
        <v>194</v>
      </c>
    </row>
    <row r="7" spans="1:11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t="s">
        <v>181</v>
      </c>
      <c r="I7" t="s">
        <v>184</v>
      </c>
      <c r="K7" s="3" t="s">
        <v>216</v>
      </c>
    </row>
    <row r="8" spans="1:11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t="s">
        <v>180</v>
      </c>
      <c r="I8" t="s">
        <v>184</v>
      </c>
    </row>
    <row r="9" spans="1:11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t="s">
        <v>179</v>
      </c>
      <c r="I9" t="s">
        <v>184</v>
      </c>
    </row>
    <row r="10" spans="1:11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t="s">
        <v>181</v>
      </c>
      <c r="I10" t="s">
        <v>184</v>
      </c>
    </row>
    <row r="11" spans="1:11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t="s">
        <v>180</v>
      </c>
      <c r="I11" t="s">
        <v>184</v>
      </c>
    </row>
    <row r="12" spans="1:11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t="s">
        <v>181</v>
      </c>
      <c r="I12" t="s">
        <v>184</v>
      </c>
    </row>
    <row r="13" spans="1:11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t="s">
        <v>180</v>
      </c>
      <c r="I13" t="s">
        <v>184</v>
      </c>
    </row>
    <row r="14" spans="1:11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t="s">
        <v>180</v>
      </c>
      <c r="I14" t="s">
        <v>184</v>
      </c>
    </row>
    <row r="15" spans="1:11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I15" t="s">
        <v>184</v>
      </c>
    </row>
    <row r="16" spans="1:11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I31" t="s">
        <v>184</v>
      </c>
    </row>
    <row r="32" spans="1:9" x14ac:dyDescent="0.3">
      <c r="A32" t="s">
        <v>39</v>
      </c>
      <c r="C32" t="s">
        <v>170</v>
      </c>
      <c r="E32" s="14">
        <v>92259</v>
      </c>
      <c r="G32" s="17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I46" t="s">
        <v>184</v>
      </c>
    </row>
    <row r="47" spans="1:9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I145" t="s">
        <v>184</v>
      </c>
    </row>
    <row r="146" spans="1:9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t="s">
        <v>179</v>
      </c>
      <c r="I151" t="s">
        <v>184</v>
      </c>
    </row>
    <row r="152" spans="1:9" x14ac:dyDescent="0.3">
      <c r="G152" s="1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2E60-0398-4477-A982-C3C993C4A160}">
  <dimension ref="A1:N151"/>
  <sheetViews>
    <sheetView zoomScaleNormal="100" workbookViewId="0">
      <selection activeCell="K13" sqref="K13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1.5546875" bestFit="1" customWidth="1"/>
    <col min="9" max="9" width="20.44140625" bestFit="1" customWidth="1"/>
    <col min="11" max="11" width="18" bestFit="1" customWidth="1"/>
    <col min="12" max="12" width="15.5546875" customWidth="1"/>
    <col min="13" max="13" width="13.109375" customWidth="1"/>
    <col min="14" max="14" width="9.21875" customWidth="1"/>
  </cols>
  <sheetData>
    <row r="1" spans="1:14" ht="15" thickBo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13" t="s">
        <v>7</v>
      </c>
      <c r="I1" s="13" t="s">
        <v>8</v>
      </c>
    </row>
    <row r="2" spans="1:14" ht="15" thickBot="1" x14ac:dyDescent="0.35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t="s">
        <v>178</v>
      </c>
      <c r="I2" t="s">
        <v>182</v>
      </c>
      <c r="L2" s="7" t="s">
        <v>195</v>
      </c>
      <c r="M2" s="7" t="s">
        <v>196</v>
      </c>
      <c r="N2" s="7" t="s">
        <v>197</v>
      </c>
    </row>
    <row r="3" spans="1:14" ht="15" thickBot="1" x14ac:dyDescent="0.35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t="s">
        <v>179</v>
      </c>
      <c r="I3" t="s">
        <v>183</v>
      </c>
      <c r="K3" s="8" t="s">
        <v>4</v>
      </c>
      <c r="L3" s="10">
        <f>SUM(E2:E151)</f>
        <v>9411892</v>
      </c>
      <c r="M3" s="10">
        <f>AVERAGE(E2:E151)</f>
        <v>66280.929577464791</v>
      </c>
      <c r="N3" s="12">
        <f>COUNT(E2:E151)</f>
        <v>142</v>
      </c>
    </row>
    <row r="4" spans="1:14" ht="15" thickBot="1" x14ac:dyDescent="0.35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I4" t="s">
        <v>184</v>
      </c>
      <c r="K4" s="8" t="s">
        <v>6</v>
      </c>
      <c r="L4" s="9">
        <f>SUM(G2:G151)</f>
        <v>359</v>
      </c>
      <c r="M4" s="9">
        <f>AVERAGE(G2:G151)</f>
        <v>2.8719999999999999</v>
      </c>
      <c r="N4" s="11">
        <f>COUNT(G2:G151)</f>
        <v>125</v>
      </c>
    </row>
    <row r="5" spans="1:14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t="s">
        <v>180</v>
      </c>
      <c r="I5" t="s">
        <v>184</v>
      </c>
    </row>
    <row r="6" spans="1:14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t="s">
        <v>180</v>
      </c>
      <c r="I6" t="s">
        <v>184</v>
      </c>
      <c r="L6" s="6"/>
    </row>
    <row r="7" spans="1:14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t="s">
        <v>181</v>
      </c>
      <c r="I7" t="s">
        <v>184</v>
      </c>
      <c r="L7" s="6"/>
    </row>
    <row r="8" spans="1:14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t="s">
        <v>180</v>
      </c>
      <c r="I8" t="s">
        <v>184</v>
      </c>
    </row>
    <row r="9" spans="1:14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t="s">
        <v>179</v>
      </c>
      <c r="I9" t="s">
        <v>184</v>
      </c>
    </row>
    <row r="10" spans="1:14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t="s">
        <v>181</v>
      </c>
      <c r="I10" t="s">
        <v>184</v>
      </c>
    </row>
    <row r="11" spans="1:14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t="s">
        <v>180</v>
      </c>
      <c r="I11" t="s">
        <v>184</v>
      </c>
    </row>
    <row r="12" spans="1:14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t="s">
        <v>181</v>
      </c>
      <c r="I12" t="s">
        <v>184</v>
      </c>
    </row>
    <row r="13" spans="1:14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t="s">
        <v>180</v>
      </c>
      <c r="I13" t="s">
        <v>184</v>
      </c>
    </row>
    <row r="14" spans="1:14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t="s">
        <v>180</v>
      </c>
      <c r="I14" t="s">
        <v>184</v>
      </c>
    </row>
    <row r="15" spans="1:14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I15" t="s">
        <v>184</v>
      </c>
    </row>
    <row r="16" spans="1:14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I31" t="s">
        <v>184</v>
      </c>
    </row>
    <row r="32" spans="1:9" x14ac:dyDescent="0.3">
      <c r="A32" t="s">
        <v>39</v>
      </c>
      <c r="C32" t="s">
        <v>170</v>
      </c>
      <c r="E32" s="14">
        <v>92259</v>
      </c>
      <c r="G32" s="17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I46" t="s">
        <v>184</v>
      </c>
    </row>
    <row r="47" spans="1:9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I145" t="s">
        <v>184</v>
      </c>
    </row>
    <row r="146" spans="1:9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t="s">
        <v>179</v>
      </c>
      <c r="I151" t="s">
        <v>184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/>
  </sheetViews>
  <sheetFormatPr defaultRowHeight="14.4" x14ac:dyDescent="0.3"/>
  <cols>
    <col min="6" max="6" width="16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C2" t="s">
        <v>166</v>
      </c>
      <c r="D2" t="s">
        <v>171</v>
      </c>
      <c r="E2" t="s">
        <v>177</v>
      </c>
      <c r="G2">
        <v>2</v>
      </c>
      <c r="H2" t="s">
        <v>178</v>
      </c>
      <c r="I2" t="s">
        <v>182</v>
      </c>
    </row>
    <row r="3" spans="1:9" x14ac:dyDescent="0.3">
      <c r="A3" t="s">
        <v>10</v>
      </c>
      <c r="B3" t="s">
        <v>159</v>
      </c>
      <c r="C3" t="s">
        <v>167</v>
      </c>
      <c r="D3" t="s">
        <v>172</v>
      </c>
      <c r="E3">
        <v>54255</v>
      </c>
      <c r="F3" s="2">
        <v>42015</v>
      </c>
      <c r="G3">
        <v>1</v>
      </c>
      <c r="H3" t="s">
        <v>179</v>
      </c>
      <c r="I3" t="s">
        <v>183</v>
      </c>
    </row>
    <row r="4" spans="1:9" x14ac:dyDescent="0.3">
      <c r="A4" t="s">
        <v>11</v>
      </c>
      <c r="B4" t="s">
        <v>160</v>
      </c>
      <c r="C4" t="s">
        <v>166</v>
      </c>
      <c r="D4" t="s">
        <v>172</v>
      </c>
      <c r="E4">
        <v>63184</v>
      </c>
      <c r="F4" s="2">
        <v>42022</v>
      </c>
      <c r="G4">
        <v>2</v>
      </c>
      <c r="I4" t="s">
        <v>184</v>
      </c>
    </row>
    <row r="5" spans="1:9" x14ac:dyDescent="0.3">
      <c r="A5" t="s">
        <v>12</v>
      </c>
      <c r="B5" t="s">
        <v>161</v>
      </c>
      <c r="C5" t="s">
        <v>168</v>
      </c>
      <c r="D5" t="s">
        <v>173</v>
      </c>
      <c r="E5">
        <v>94406</v>
      </c>
      <c r="F5" s="2">
        <v>42029</v>
      </c>
      <c r="G5">
        <v>1</v>
      </c>
      <c r="H5" t="s">
        <v>180</v>
      </c>
      <c r="I5" t="s">
        <v>184</v>
      </c>
    </row>
    <row r="6" spans="1:9" x14ac:dyDescent="0.3">
      <c r="A6" t="s">
        <v>13</v>
      </c>
      <c r="B6" t="s">
        <v>162</v>
      </c>
      <c r="C6" t="s">
        <v>168</v>
      </c>
      <c r="D6" t="s">
        <v>172</v>
      </c>
      <c r="E6">
        <v>64120</v>
      </c>
      <c r="F6" s="2">
        <v>42036</v>
      </c>
      <c r="G6">
        <v>1</v>
      </c>
      <c r="H6" t="s">
        <v>180</v>
      </c>
      <c r="I6" t="s">
        <v>184</v>
      </c>
    </row>
    <row r="7" spans="1:9" x14ac:dyDescent="0.3">
      <c r="A7" t="s">
        <v>14</v>
      </c>
      <c r="B7" t="s">
        <v>160</v>
      </c>
      <c r="C7" t="s">
        <v>169</v>
      </c>
      <c r="D7" t="s">
        <v>174</v>
      </c>
      <c r="E7">
        <v>78421</v>
      </c>
      <c r="F7" s="2">
        <v>42043</v>
      </c>
      <c r="G7">
        <v>2</v>
      </c>
      <c r="H7" t="s">
        <v>181</v>
      </c>
      <c r="I7" t="s">
        <v>184</v>
      </c>
    </row>
    <row r="8" spans="1:9" x14ac:dyDescent="0.3">
      <c r="A8" t="s">
        <v>15</v>
      </c>
      <c r="B8" t="s">
        <v>163</v>
      </c>
      <c r="C8" t="s">
        <v>168</v>
      </c>
      <c r="E8">
        <v>67721</v>
      </c>
      <c r="F8" s="2">
        <v>42050</v>
      </c>
      <c r="H8" t="s">
        <v>180</v>
      </c>
      <c r="I8" t="s">
        <v>184</v>
      </c>
    </row>
    <row r="9" spans="1:9" x14ac:dyDescent="0.3">
      <c r="A9" t="s">
        <v>16</v>
      </c>
      <c r="B9" t="s">
        <v>164</v>
      </c>
      <c r="C9" t="s">
        <v>170</v>
      </c>
      <c r="E9">
        <v>35364</v>
      </c>
      <c r="F9" s="2">
        <v>42057</v>
      </c>
      <c r="G9">
        <v>2</v>
      </c>
      <c r="H9" t="s">
        <v>179</v>
      </c>
      <c r="I9" t="s">
        <v>184</v>
      </c>
    </row>
    <row r="10" spans="1:9" x14ac:dyDescent="0.3">
      <c r="A10" t="s">
        <v>17</v>
      </c>
      <c r="B10" t="s">
        <v>160</v>
      </c>
      <c r="C10" t="s">
        <v>169</v>
      </c>
      <c r="D10" t="s">
        <v>172</v>
      </c>
      <c r="E10">
        <v>97881</v>
      </c>
      <c r="F10" s="2">
        <v>42064</v>
      </c>
      <c r="H10" t="s">
        <v>181</v>
      </c>
      <c r="I10" t="s">
        <v>184</v>
      </c>
    </row>
    <row r="11" spans="1:9" x14ac:dyDescent="0.3">
      <c r="A11" t="s">
        <v>18</v>
      </c>
      <c r="B11" t="s">
        <v>164</v>
      </c>
      <c r="C11" t="s">
        <v>167</v>
      </c>
      <c r="D11" t="s">
        <v>175</v>
      </c>
      <c r="E11">
        <v>91846</v>
      </c>
      <c r="F11" s="2">
        <v>42071</v>
      </c>
      <c r="H11" t="s">
        <v>180</v>
      </c>
      <c r="I11" t="s">
        <v>184</v>
      </c>
    </row>
    <row r="12" spans="1:9" x14ac:dyDescent="0.3">
      <c r="A12" t="s">
        <v>19</v>
      </c>
      <c r="B12" t="s">
        <v>163</v>
      </c>
      <c r="C12" t="s">
        <v>166</v>
      </c>
      <c r="D12" t="s">
        <v>175</v>
      </c>
      <c r="E12">
        <v>64247</v>
      </c>
      <c r="F12" s="2">
        <v>42078</v>
      </c>
      <c r="G12">
        <v>1</v>
      </c>
      <c r="H12" t="s">
        <v>181</v>
      </c>
      <c r="I12" t="s">
        <v>184</v>
      </c>
    </row>
    <row r="13" spans="1:9" x14ac:dyDescent="0.3">
      <c r="A13" t="s">
        <v>20</v>
      </c>
      <c r="B13" t="s">
        <v>163</v>
      </c>
      <c r="C13" t="s">
        <v>169</v>
      </c>
      <c r="D13" t="s">
        <v>173</v>
      </c>
      <c r="E13">
        <v>91180</v>
      </c>
      <c r="F13" s="2">
        <v>42085</v>
      </c>
      <c r="G13">
        <v>5</v>
      </c>
      <c r="H13" t="s">
        <v>180</v>
      </c>
      <c r="I13" t="s">
        <v>184</v>
      </c>
    </row>
    <row r="14" spans="1:9" x14ac:dyDescent="0.3">
      <c r="A14" t="s">
        <v>21</v>
      </c>
      <c r="B14" t="s">
        <v>165</v>
      </c>
      <c r="C14" t="s">
        <v>168</v>
      </c>
      <c r="E14">
        <v>96418</v>
      </c>
      <c r="F14" s="2">
        <v>42092</v>
      </c>
      <c r="G14">
        <v>5</v>
      </c>
      <c r="H14" t="s">
        <v>180</v>
      </c>
      <c r="I14" t="s">
        <v>184</v>
      </c>
    </row>
    <row r="15" spans="1:9" x14ac:dyDescent="0.3">
      <c r="A15" t="s">
        <v>22</v>
      </c>
      <c r="B15" t="s">
        <v>163</v>
      </c>
      <c r="D15" t="s">
        <v>174</v>
      </c>
      <c r="E15">
        <v>62158</v>
      </c>
      <c r="F15" s="2">
        <v>42099</v>
      </c>
      <c r="G15">
        <v>4</v>
      </c>
      <c r="I15" t="s">
        <v>184</v>
      </c>
    </row>
    <row r="16" spans="1:9" x14ac:dyDescent="0.3">
      <c r="A16" t="s">
        <v>23</v>
      </c>
      <c r="B16" t="s">
        <v>162</v>
      </c>
      <c r="C16" t="s">
        <v>167</v>
      </c>
      <c r="E16">
        <v>59894</v>
      </c>
      <c r="F16" s="2">
        <v>42106</v>
      </c>
      <c r="G16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>
        <v>92443</v>
      </c>
      <c r="F17" s="2">
        <v>42113</v>
      </c>
      <c r="G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>
        <v>90271</v>
      </c>
      <c r="F18" s="2">
        <v>42120</v>
      </c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>
        <v>41341</v>
      </c>
      <c r="F19" s="2">
        <v>42127</v>
      </c>
      <c r="G19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>
        <v>73602</v>
      </c>
      <c r="F20" s="2">
        <v>42134</v>
      </c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>
        <v>67531</v>
      </c>
      <c r="F21" s="2">
        <v>42141</v>
      </c>
      <c r="G21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t="s">
        <v>177</v>
      </c>
      <c r="F22" s="2">
        <v>42148</v>
      </c>
      <c r="G22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>
        <v>98922</v>
      </c>
      <c r="F23" s="2">
        <v>42155</v>
      </c>
      <c r="G23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>
        <v>38333</v>
      </c>
      <c r="F24" s="2">
        <v>42162</v>
      </c>
      <c r="G24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>
        <v>36515</v>
      </c>
      <c r="F25" s="2">
        <v>42169</v>
      </c>
      <c r="G25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>
        <v>91005</v>
      </c>
      <c r="F26" s="2">
        <v>42176</v>
      </c>
      <c r="G26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>
        <v>52272</v>
      </c>
      <c r="F27" s="2">
        <v>42183</v>
      </c>
      <c r="G2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>
        <v>76518</v>
      </c>
      <c r="F28" s="2">
        <v>42190</v>
      </c>
      <c r="G28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>
        <v>41448</v>
      </c>
      <c r="F29" s="2">
        <v>42197</v>
      </c>
      <c r="G29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>
        <v>49282</v>
      </c>
      <c r="F30" s="2">
        <v>42204</v>
      </c>
      <c r="G30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>
        <v>92959</v>
      </c>
      <c r="F31" s="2">
        <v>42211</v>
      </c>
      <c r="G31">
        <v>5</v>
      </c>
      <c r="I31" t="s">
        <v>184</v>
      </c>
    </row>
    <row r="32" spans="1:9" x14ac:dyDescent="0.3">
      <c r="A32" t="s">
        <v>39</v>
      </c>
      <c r="C32" t="s">
        <v>170</v>
      </c>
      <c r="E32">
        <v>92259</v>
      </c>
      <c r="G32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>
        <v>92299</v>
      </c>
      <c r="F33" s="2">
        <v>42225</v>
      </c>
      <c r="G33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>
        <v>95586</v>
      </c>
      <c r="F34" s="2">
        <v>42232</v>
      </c>
      <c r="G34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>
        <v>95367</v>
      </c>
      <c r="F35" s="2">
        <v>42239</v>
      </c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>
        <v>79549</v>
      </c>
      <c r="F36" s="2">
        <v>42246</v>
      </c>
      <c r="G36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>
        <v>54463</v>
      </c>
      <c r="F37" s="2">
        <v>42253</v>
      </c>
      <c r="G3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>
        <v>89781</v>
      </c>
      <c r="F38" s="2">
        <v>42260</v>
      </c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>
        <v>64796</v>
      </c>
      <c r="F39" s="2">
        <v>42267</v>
      </c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>
        <v>52093</v>
      </c>
      <c r="F40" s="2">
        <v>42274</v>
      </c>
      <c r="G40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>
        <v>48224</v>
      </c>
      <c r="F41" s="2">
        <v>42281</v>
      </c>
      <c r="G41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t="s">
        <v>177</v>
      </c>
      <c r="G42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>
        <v>33956</v>
      </c>
      <c r="F43" s="2">
        <v>42295</v>
      </c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>
        <v>64913</v>
      </c>
      <c r="F44" s="2">
        <v>42302</v>
      </c>
      <c r="G44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>
        <v>35326</v>
      </c>
      <c r="F45" s="2">
        <v>42309</v>
      </c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>
        <v>81610</v>
      </c>
      <c r="F46" s="2">
        <v>42316</v>
      </c>
      <c r="G46">
        <v>1</v>
      </c>
      <c r="I46" t="s">
        <v>184</v>
      </c>
    </row>
    <row r="47" spans="1:9" x14ac:dyDescent="0.3">
      <c r="A47" t="s">
        <v>54</v>
      </c>
      <c r="C47" t="s">
        <v>167</v>
      </c>
      <c r="E47">
        <v>58962</v>
      </c>
      <c r="F47" s="2">
        <v>42323</v>
      </c>
      <c r="G4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>
        <v>92701</v>
      </c>
      <c r="F48" s="2">
        <v>42330</v>
      </c>
      <c r="G48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>
        <v>58245</v>
      </c>
      <c r="F49" s="2">
        <v>42337</v>
      </c>
      <c r="G49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>
        <v>66513</v>
      </c>
      <c r="F50" s="2">
        <v>42344</v>
      </c>
      <c r="G50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>
        <v>78720</v>
      </c>
      <c r="F51" s="2">
        <v>42351</v>
      </c>
      <c r="G51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>
        <v>30686</v>
      </c>
      <c r="G52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>
        <v>39423</v>
      </c>
      <c r="F53" s="2">
        <v>42365</v>
      </c>
      <c r="G53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>
        <v>30280</v>
      </c>
      <c r="F54" s="2">
        <v>42372</v>
      </c>
      <c r="G54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>
        <v>33352</v>
      </c>
      <c r="F55" s="2">
        <v>42379</v>
      </c>
      <c r="G55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>
        <v>75633</v>
      </c>
      <c r="F56" s="2">
        <v>42386</v>
      </c>
      <c r="G56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>
        <v>74815</v>
      </c>
      <c r="F57" s="2">
        <v>42393</v>
      </c>
      <c r="G5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>
        <v>60011</v>
      </c>
      <c r="F58" s="2">
        <v>42400</v>
      </c>
      <c r="G58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>
        <v>96949</v>
      </c>
      <c r="F59" s="2">
        <v>42407</v>
      </c>
      <c r="G59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>
        <v>84924</v>
      </c>
      <c r="F60" s="2">
        <v>42414</v>
      </c>
      <c r="G60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>
        <v>82033</v>
      </c>
      <c r="F61" s="2">
        <v>42421</v>
      </c>
      <c r="G61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t="s">
        <v>177</v>
      </c>
      <c r="G62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>
        <v>31499</v>
      </c>
      <c r="F63" s="2">
        <v>42435</v>
      </c>
      <c r="G63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>
        <v>97981</v>
      </c>
      <c r="F64" s="2">
        <v>42442</v>
      </c>
      <c r="G64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>
        <v>36541</v>
      </c>
      <c r="F65" s="2">
        <v>42449</v>
      </c>
      <c r="G65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>
        <v>84737</v>
      </c>
      <c r="F66" s="2">
        <v>42456</v>
      </c>
      <c r="G66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>
        <v>33468</v>
      </c>
      <c r="F67" s="2">
        <v>42463</v>
      </c>
      <c r="G6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>
        <v>96365</v>
      </c>
      <c r="F68" s="2">
        <v>42470</v>
      </c>
      <c r="G68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>
        <v>61942</v>
      </c>
      <c r="F69" s="2">
        <v>42477</v>
      </c>
      <c r="G69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>
        <v>41467</v>
      </c>
      <c r="F70" s="2">
        <v>42484</v>
      </c>
      <c r="G70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>
        <v>77096</v>
      </c>
      <c r="F71" s="2">
        <v>42491</v>
      </c>
      <c r="G71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>
        <v>69952</v>
      </c>
      <c r="F72" s="2">
        <v>42498</v>
      </c>
      <c r="G72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>
        <v>85065</v>
      </c>
      <c r="F73" s="2">
        <v>42505</v>
      </c>
      <c r="G73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>
        <v>56512</v>
      </c>
      <c r="F74" s="2">
        <v>42512</v>
      </c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>
        <v>91101</v>
      </c>
      <c r="F75" s="2">
        <v>42519</v>
      </c>
      <c r="G75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>
        <v>41243</v>
      </c>
      <c r="F76" s="2">
        <v>42526</v>
      </c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>
        <v>96142</v>
      </c>
      <c r="F77" s="2">
        <v>42533</v>
      </c>
      <c r="G7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>
        <v>94301</v>
      </c>
      <c r="F78" s="2">
        <v>42540</v>
      </c>
      <c r="G78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>
        <v>69166</v>
      </c>
      <c r="F79" s="2">
        <v>42547</v>
      </c>
      <c r="G79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>
        <v>78245</v>
      </c>
      <c r="F80" s="2">
        <v>42554</v>
      </c>
      <c r="G80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>
        <v>66079</v>
      </c>
      <c r="F81" s="2">
        <v>42561</v>
      </c>
      <c r="G81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t="s">
        <v>177</v>
      </c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>
        <v>95621</v>
      </c>
      <c r="F83" s="2">
        <v>42575</v>
      </c>
      <c r="G83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>
        <v>42262</v>
      </c>
      <c r="F84" s="2">
        <v>42582</v>
      </c>
      <c r="G84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>
        <v>99621</v>
      </c>
      <c r="F85" s="2">
        <v>42589</v>
      </c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>
        <v>44682</v>
      </c>
      <c r="F86" s="2">
        <v>42596</v>
      </c>
      <c r="G86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>
        <v>35163</v>
      </c>
      <c r="F87" s="2">
        <v>42603</v>
      </c>
      <c r="G8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>
        <v>33483</v>
      </c>
      <c r="F88" s="2">
        <v>42610</v>
      </c>
      <c r="G88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>
        <v>55303</v>
      </c>
      <c r="F89" s="2">
        <v>42617</v>
      </c>
      <c r="G89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>
        <v>63434</v>
      </c>
      <c r="F90" s="2">
        <v>42624</v>
      </c>
      <c r="G90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>
        <v>38830</v>
      </c>
      <c r="F91" s="2">
        <v>42631</v>
      </c>
      <c r="G91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>
        <v>50741</v>
      </c>
      <c r="F92" s="2">
        <v>42638</v>
      </c>
      <c r="G92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>
        <v>69420</v>
      </c>
      <c r="F93" s="2">
        <v>42645</v>
      </c>
      <c r="G93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>
        <v>80588</v>
      </c>
      <c r="F94" s="2">
        <v>42652</v>
      </c>
      <c r="G94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>
        <v>76238</v>
      </c>
      <c r="F95" s="2">
        <v>42659</v>
      </c>
      <c r="G95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>
        <v>33264</v>
      </c>
      <c r="F96" s="2">
        <v>42666</v>
      </c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>
        <v>96101</v>
      </c>
      <c r="F97" s="2">
        <v>42673</v>
      </c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>
        <v>72939</v>
      </c>
      <c r="F98" s="2">
        <v>42680</v>
      </c>
      <c r="G98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>
        <v>89333</v>
      </c>
      <c r="F99" s="2">
        <v>42687</v>
      </c>
      <c r="G99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>
        <v>70470</v>
      </c>
      <c r="F100" s="2">
        <v>42694</v>
      </c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>
        <v>70096</v>
      </c>
      <c r="F101" s="2">
        <v>42701</v>
      </c>
      <c r="G101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t="s">
        <v>177</v>
      </c>
      <c r="F102" s="2">
        <v>42708</v>
      </c>
      <c r="G102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>
        <v>66503</v>
      </c>
      <c r="F103" s="2">
        <v>42715</v>
      </c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>
        <v>42096</v>
      </c>
      <c r="F104" s="2">
        <v>42722</v>
      </c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>
        <v>79145</v>
      </c>
      <c r="F105" s="2">
        <v>42729</v>
      </c>
      <c r="G105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>
        <v>61556</v>
      </c>
      <c r="F106" s="2">
        <v>42736</v>
      </c>
      <c r="G106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>
        <v>87963</v>
      </c>
      <c r="F107" s="2">
        <v>42743</v>
      </c>
      <c r="G10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>
        <v>48325</v>
      </c>
      <c r="F108" s="2">
        <v>42750</v>
      </c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>
        <v>86412</v>
      </c>
      <c r="F109" s="2">
        <v>42757</v>
      </c>
      <c r="G109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>
        <v>66761</v>
      </c>
      <c r="F110" s="2">
        <v>42764</v>
      </c>
      <c r="G110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>
        <v>88850</v>
      </c>
      <c r="F111" s="2">
        <v>42771</v>
      </c>
      <c r="G111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>
        <v>31293</v>
      </c>
      <c r="G112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>
        <v>34306</v>
      </c>
      <c r="F113" s="2">
        <v>42785</v>
      </c>
      <c r="G113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>
        <v>78330</v>
      </c>
      <c r="F114" s="2">
        <v>42792</v>
      </c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>
        <v>47653</v>
      </c>
      <c r="F115" s="2">
        <v>42799</v>
      </c>
      <c r="G115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>
        <v>44627</v>
      </c>
      <c r="F116" s="2">
        <v>42806</v>
      </c>
      <c r="G116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>
        <v>92343</v>
      </c>
      <c r="F117" s="2">
        <v>42813</v>
      </c>
      <c r="G1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>
        <v>38837</v>
      </c>
      <c r="F118" s="2">
        <v>42820</v>
      </c>
      <c r="G118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>
        <v>73483</v>
      </c>
      <c r="F119" s="2">
        <v>42827</v>
      </c>
      <c r="G119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>
        <v>95032</v>
      </c>
      <c r="F120" s="2">
        <v>42834</v>
      </c>
      <c r="G120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>
        <v>44358</v>
      </c>
      <c r="F121" s="2">
        <v>42841</v>
      </c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t="s">
        <v>177</v>
      </c>
      <c r="G122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>
        <v>45676</v>
      </c>
      <c r="F123" s="2">
        <v>42855</v>
      </c>
      <c r="G123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>
        <v>52036</v>
      </c>
      <c r="F124" s="2">
        <v>42862</v>
      </c>
      <c r="G124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>
        <v>30357</v>
      </c>
      <c r="F125" s="2">
        <v>42869</v>
      </c>
      <c r="G125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>
        <v>60034</v>
      </c>
      <c r="F126" s="2">
        <v>42876</v>
      </c>
      <c r="G126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>
        <v>90019</v>
      </c>
      <c r="F127" s="2">
        <v>42883</v>
      </c>
      <c r="G12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>
        <v>71494</v>
      </c>
      <c r="F128" s="2">
        <v>42890</v>
      </c>
      <c r="G128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>
        <v>91953</v>
      </c>
      <c r="F129" s="2">
        <v>42897</v>
      </c>
      <c r="G129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>
        <v>30402</v>
      </c>
      <c r="F130" s="2">
        <v>42904</v>
      </c>
      <c r="G130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>
        <v>62994</v>
      </c>
      <c r="F131" s="2">
        <v>42911</v>
      </c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>
        <v>48289</v>
      </c>
      <c r="G132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>
        <v>34402</v>
      </c>
      <c r="F133" s="2">
        <v>42925</v>
      </c>
      <c r="G133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>
        <v>38678</v>
      </c>
      <c r="F134" s="2">
        <v>42932</v>
      </c>
      <c r="G134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>
        <v>45758</v>
      </c>
      <c r="F135" s="2">
        <v>42939</v>
      </c>
      <c r="G135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>
        <v>62476</v>
      </c>
      <c r="F136" s="2">
        <v>42946</v>
      </c>
      <c r="G136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>
        <v>39280</v>
      </c>
      <c r="F137" s="2">
        <v>42953</v>
      </c>
      <c r="G13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>
        <v>60335</v>
      </c>
      <c r="F138" s="2">
        <v>42960</v>
      </c>
      <c r="G138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>
        <v>84968</v>
      </c>
      <c r="F139" s="2">
        <v>42967</v>
      </c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>
        <v>84750</v>
      </c>
      <c r="F140" s="2">
        <v>42974</v>
      </c>
      <c r="G140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>
        <v>73348</v>
      </c>
      <c r="F141" s="2">
        <v>42981</v>
      </c>
      <c r="G141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t="s">
        <v>177</v>
      </c>
      <c r="F142" s="2">
        <v>42988</v>
      </c>
      <c r="G142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>
        <v>66882</v>
      </c>
      <c r="F143" s="2">
        <v>42995</v>
      </c>
      <c r="G143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>
        <v>86775</v>
      </c>
      <c r="F144" s="2">
        <v>43002</v>
      </c>
      <c r="G144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>
        <v>91620</v>
      </c>
      <c r="F145" s="2">
        <v>43009</v>
      </c>
      <c r="I145" t="s">
        <v>184</v>
      </c>
    </row>
    <row r="146" spans="1:9" x14ac:dyDescent="0.3">
      <c r="A146" t="s">
        <v>153</v>
      </c>
      <c r="B146" t="s">
        <v>159</v>
      </c>
      <c r="E146">
        <v>94148</v>
      </c>
      <c r="F146" s="2">
        <v>43016</v>
      </c>
      <c r="G146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>
        <v>35627</v>
      </c>
      <c r="F147" s="2">
        <v>43023</v>
      </c>
      <c r="G14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>
        <v>57141</v>
      </c>
      <c r="F148" s="2">
        <v>43030</v>
      </c>
      <c r="G148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>
        <v>65270</v>
      </c>
      <c r="F149" s="2">
        <v>43037</v>
      </c>
      <c r="G149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>
        <v>67335</v>
      </c>
      <c r="F150" s="2">
        <v>43044</v>
      </c>
      <c r="G150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>
        <v>98475</v>
      </c>
      <c r="F151" s="2">
        <v>43051</v>
      </c>
      <c r="G151">
        <v>5</v>
      </c>
      <c r="H151" t="s">
        <v>179</v>
      </c>
      <c r="I151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BA8C-F75A-42A2-A637-F5E099CBB88A}">
  <dimension ref="A1:L152"/>
  <sheetViews>
    <sheetView workbookViewId="0">
      <selection activeCell="E21" sqref="E21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0.77734375" bestFit="1" customWidth="1"/>
    <col min="9" max="9" width="11.5546875" bestFit="1" customWidth="1"/>
    <col min="10" max="10" width="20.44140625" bestFit="1" customWidth="1"/>
    <col min="11" max="11" width="47.88671875" style="3" customWidth="1"/>
    <col min="12" max="12" width="12.88671875" bestFit="1" customWidth="1"/>
  </cols>
  <sheetData>
    <row r="1" spans="1:12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20" t="s">
        <v>201</v>
      </c>
      <c r="I1" s="13" t="s">
        <v>7</v>
      </c>
      <c r="J1" s="13" t="s">
        <v>8</v>
      </c>
      <c r="K1" s="4" t="s">
        <v>198</v>
      </c>
    </row>
    <row r="2" spans="1:12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s="16" t="str">
        <f>IF(G2="","",IF(G2=5,"Excellent",IF(G2&gt;=3,"Good","Bad")))</f>
        <v>Bad</v>
      </c>
      <c r="I2" t="s">
        <v>178</v>
      </c>
      <c r="J2" t="s">
        <v>182</v>
      </c>
      <c r="K2" s="4" t="s">
        <v>199</v>
      </c>
      <c r="L2">
        <f>COUNTIF(E2:E151,"&gt;50000")</f>
        <v>101</v>
      </c>
    </row>
    <row r="3" spans="1:12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s="16" t="str">
        <f t="shared" ref="H3:H66" si="0">IF(G3="","",IF(G3=5,"Excellent",IF(G3&gt;=3,"Good","Bad")))</f>
        <v>Bad</v>
      </c>
      <c r="I3" t="s">
        <v>179</v>
      </c>
      <c r="J3" t="s">
        <v>183</v>
      </c>
      <c r="K3" s="4" t="s">
        <v>200</v>
      </c>
      <c r="L3">
        <f>COUNTIF(E2:E151,"&lt;50000")</f>
        <v>41</v>
      </c>
    </row>
    <row r="4" spans="1:12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H4" s="16" t="str">
        <f t="shared" si="0"/>
        <v>Bad</v>
      </c>
      <c r="J4" t="s">
        <v>184</v>
      </c>
      <c r="K4" s="4" t="s">
        <v>203</v>
      </c>
      <c r="L4" s="14">
        <f>SUMIF(E2:E151,"&gt;50000")</f>
        <v>7826496</v>
      </c>
    </row>
    <row r="5" spans="1:12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s="16" t="str">
        <f t="shared" si="0"/>
        <v>Bad</v>
      </c>
      <c r="I5" t="s">
        <v>180</v>
      </c>
      <c r="J5" t="s">
        <v>184</v>
      </c>
      <c r="K5" s="4" t="s">
        <v>202</v>
      </c>
      <c r="L5" s="14">
        <f>AVERAGEIF(E2:E151,"&gt;50000")</f>
        <v>77490.059405940599</v>
      </c>
    </row>
    <row r="6" spans="1:12" ht="28.8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s="16" t="str">
        <f t="shared" si="0"/>
        <v>Bad</v>
      </c>
      <c r="I6" t="s">
        <v>180</v>
      </c>
      <c r="J6" t="s">
        <v>184</v>
      </c>
      <c r="K6" s="5" t="s">
        <v>204</v>
      </c>
    </row>
    <row r="7" spans="1:12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s="16" t="str">
        <f t="shared" si="0"/>
        <v>Bad</v>
      </c>
      <c r="I7" t="s">
        <v>181</v>
      </c>
      <c r="J7" t="s">
        <v>184</v>
      </c>
    </row>
    <row r="8" spans="1:12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s="16" t="str">
        <f t="shared" si="0"/>
        <v/>
      </c>
      <c r="I8" t="s">
        <v>180</v>
      </c>
      <c r="J8" t="s">
        <v>184</v>
      </c>
    </row>
    <row r="9" spans="1:12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s="16" t="str">
        <f t="shared" si="0"/>
        <v>Bad</v>
      </c>
      <c r="I9" t="s">
        <v>179</v>
      </c>
      <c r="J9" t="s">
        <v>184</v>
      </c>
    </row>
    <row r="10" spans="1:12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s="16" t="str">
        <f t="shared" si="0"/>
        <v/>
      </c>
      <c r="I10" t="s">
        <v>181</v>
      </c>
      <c r="J10" t="s">
        <v>184</v>
      </c>
      <c r="K10" s="15"/>
    </row>
    <row r="11" spans="1:12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s="16" t="str">
        <f t="shared" si="0"/>
        <v/>
      </c>
      <c r="I11" t="s">
        <v>180</v>
      </c>
      <c r="J11" t="s">
        <v>184</v>
      </c>
    </row>
    <row r="12" spans="1:12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s="16" t="str">
        <f t="shared" si="0"/>
        <v>Bad</v>
      </c>
      <c r="I12" t="s">
        <v>181</v>
      </c>
      <c r="J12" t="s">
        <v>184</v>
      </c>
    </row>
    <row r="13" spans="1:12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s="16" t="str">
        <f t="shared" si="0"/>
        <v>Excellent</v>
      </c>
      <c r="I13" t="s">
        <v>180</v>
      </c>
      <c r="J13" t="s">
        <v>184</v>
      </c>
    </row>
    <row r="14" spans="1:12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s="16" t="str">
        <f t="shared" si="0"/>
        <v>Excellent</v>
      </c>
      <c r="I14" t="s">
        <v>180</v>
      </c>
      <c r="J14" t="s">
        <v>184</v>
      </c>
    </row>
    <row r="15" spans="1:12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H15" s="16" t="str">
        <f t="shared" si="0"/>
        <v>Good</v>
      </c>
      <c r="J15" t="s">
        <v>184</v>
      </c>
    </row>
    <row r="16" spans="1:12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s="16" t="str">
        <f t="shared" si="0"/>
        <v>Bad</v>
      </c>
      <c r="I16" t="s">
        <v>180</v>
      </c>
      <c r="J16" t="s">
        <v>184</v>
      </c>
    </row>
    <row r="17" spans="1:10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s="16" t="str">
        <f t="shared" si="0"/>
        <v>Good</v>
      </c>
      <c r="I17" t="s">
        <v>179</v>
      </c>
      <c r="J17" t="s">
        <v>184</v>
      </c>
    </row>
    <row r="18" spans="1:10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H18" s="16" t="str">
        <f t="shared" si="0"/>
        <v/>
      </c>
      <c r="J18" t="s">
        <v>184</v>
      </c>
    </row>
    <row r="19" spans="1:10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s="16" t="str">
        <f t="shared" si="0"/>
        <v>Bad</v>
      </c>
      <c r="I19" t="s">
        <v>179</v>
      </c>
      <c r="J19" t="s">
        <v>184</v>
      </c>
    </row>
    <row r="20" spans="1:10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H20" s="16" t="str">
        <f t="shared" si="0"/>
        <v/>
      </c>
      <c r="J20" t="s">
        <v>184</v>
      </c>
    </row>
    <row r="21" spans="1:10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s="16" t="str">
        <f t="shared" si="0"/>
        <v>Excellent</v>
      </c>
      <c r="I21" t="s">
        <v>181</v>
      </c>
      <c r="J21" t="s">
        <v>184</v>
      </c>
    </row>
    <row r="22" spans="1:10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s="16" t="str">
        <f t="shared" si="0"/>
        <v>Bad</v>
      </c>
      <c r="I22" t="s">
        <v>179</v>
      </c>
      <c r="J22" t="s">
        <v>184</v>
      </c>
    </row>
    <row r="23" spans="1:10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H23" s="16" t="str">
        <f t="shared" si="0"/>
        <v>Good</v>
      </c>
      <c r="J23" t="s">
        <v>184</v>
      </c>
    </row>
    <row r="24" spans="1:10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H24" s="16" t="str">
        <f t="shared" si="0"/>
        <v>Excellent</v>
      </c>
      <c r="J24" t="s">
        <v>184</v>
      </c>
    </row>
    <row r="25" spans="1:10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s="16" t="str">
        <f t="shared" si="0"/>
        <v>Good</v>
      </c>
      <c r="I25" t="s">
        <v>180</v>
      </c>
      <c r="J25" t="s">
        <v>184</v>
      </c>
    </row>
    <row r="26" spans="1:10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s="16" t="str">
        <f t="shared" si="0"/>
        <v>Bad</v>
      </c>
      <c r="I26" t="s">
        <v>179</v>
      </c>
      <c r="J26" t="s">
        <v>184</v>
      </c>
    </row>
    <row r="27" spans="1:10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H27" s="16" t="str">
        <f t="shared" si="0"/>
        <v>Good</v>
      </c>
      <c r="J27" t="s">
        <v>184</v>
      </c>
    </row>
    <row r="28" spans="1:10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s="16" t="str">
        <f t="shared" si="0"/>
        <v>Bad</v>
      </c>
      <c r="I28" t="s">
        <v>181</v>
      </c>
      <c r="J28" t="s">
        <v>184</v>
      </c>
    </row>
    <row r="29" spans="1:10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s="16" t="str">
        <f t="shared" si="0"/>
        <v>Good</v>
      </c>
      <c r="I29" t="s">
        <v>179</v>
      </c>
      <c r="J29" t="s">
        <v>184</v>
      </c>
    </row>
    <row r="30" spans="1:10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s="16" t="str">
        <f t="shared" si="0"/>
        <v>Bad</v>
      </c>
      <c r="I30" t="s">
        <v>181</v>
      </c>
      <c r="J30" t="s">
        <v>184</v>
      </c>
    </row>
    <row r="31" spans="1:10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H31" s="16" t="str">
        <f t="shared" si="0"/>
        <v>Excellent</v>
      </c>
      <c r="J31" t="s">
        <v>184</v>
      </c>
    </row>
    <row r="32" spans="1:10" x14ac:dyDescent="0.3">
      <c r="A32" t="s">
        <v>39</v>
      </c>
      <c r="C32" t="s">
        <v>170</v>
      </c>
      <c r="E32" s="14">
        <v>92259</v>
      </c>
      <c r="G32" s="17">
        <v>1</v>
      </c>
      <c r="H32" s="16" t="str">
        <f t="shared" si="0"/>
        <v>Bad</v>
      </c>
      <c r="I32" t="s">
        <v>178</v>
      </c>
      <c r="J32" t="s">
        <v>184</v>
      </c>
    </row>
    <row r="33" spans="1:10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s="16" t="str">
        <f t="shared" si="0"/>
        <v>Good</v>
      </c>
      <c r="I33" t="s">
        <v>180</v>
      </c>
      <c r="J33" t="s">
        <v>184</v>
      </c>
    </row>
    <row r="34" spans="1:10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s="16" t="str">
        <f t="shared" si="0"/>
        <v>Good</v>
      </c>
      <c r="I34" t="s">
        <v>179</v>
      </c>
      <c r="J34" t="s">
        <v>184</v>
      </c>
    </row>
    <row r="35" spans="1:10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s="16" t="str">
        <f t="shared" si="0"/>
        <v/>
      </c>
      <c r="I35" t="s">
        <v>180</v>
      </c>
      <c r="J35" t="s">
        <v>184</v>
      </c>
    </row>
    <row r="36" spans="1:10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H36" s="16" t="str">
        <f t="shared" si="0"/>
        <v>Good</v>
      </c>
      <c r="J36" t="s">
        <v>184</v>
      </c>
    </row>
    <row r="37" spans="1:10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s="16" t="str">
        <f t="shared" si="0"/>
        <v>Good</v>
      </c>
      <c r="I37" t="s">
        <v>180</v>
      </c>
      <c r="J37" t="s">
        <v>184</v>
      </c>
    </row>
    <row r="38" spans="1:10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s="16" t="str">
        <f t="shared" si="0"/>
        <v/>
      </c>
      <c r="I38" t="s">
        <v>181</v>
      </c>
      <c r="J38" t="s">
        <v>184</v>
      </c>
    </row>
    <row r="39" spans="1:10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s="16" t="str">
        <f t="shared" si="0"/>
        <v/>
      </c>
      <c r="I39" t="s">
        <v>179</v>
      </c>
      <c r="J39" t="s">
        <v>184</v>
      </c>
    </row>
    <row r="40" spans="1:10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H40" s="16" t="str">
        <f t="shared" si="0"/>
        <v>Excellent</v>
      </c>
      <c r="J40" t="s">
        <v>184</v>
      </c>
    </row>
    <row r="41" spans="1:10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H41" s="16" t="str">
        <f t="shared" si="0"/>
        <v>Good</v>
      </c>
      <c r="J41" t="s">
        <v>184</v>
      </c>
    </row>
    <row r="42" spans="1:10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s="16" t="str">
        <f t="shared" si="0"/>
        <v>Good</v>
      </c>
      <c r="I42" t="s">
        <v>181</v>
      </c>
      <c r="J42" t="s">
        <v>184</v>
      </c>
    </row>
    <row r="43" spans="1:10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H43" s="16" t="str">
        <f t="shared" si="0"/>
        <v/>
      </c>
      <c r="J43" t="s">
        <v>184</v>
      </c>
    </row>
    <row r="44" spans="1:10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s="16" t="str">
        <f t="shared" si="0"/>
        <v>Bad</v>
      </c>
      <c r="I44" t="s">
        <v>181</v>
      </c>
      <c r="J44" t="s">
        <v>184</v>
      </c>
    </row>
    <row r="45" spans="1:10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s="16" t="str">
        <f t="shared" si="0"/>
        <v/>
      </c>
      <c r="I45" t="s">
        <v>181</v>
      </c>
      <c r="J45" t="s">
        <v>184</v>
      </c>
    </row>
    <row r="46" spans="1:10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H46" s="16" t="str">
        <f t="shared" si="0"/>
        <v>Bad</v>
      </c>
      <c r="J46" t="s">
        <v>184</v>
      </c>
    </row>
    <row r="47" spans="1:10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s="16" t="str">
        <f t="shared" si="0"/>
        <v>Good</v>
      </c>
      <c r="I47" t="s">
        <v>179</v>
      </c>
      <c r="J47" t="s">
        <v>184</v>
      </c>
    </row>
    <row r="48" spans="1:10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s="16" t="str">
        <f t="shared" si="0"/>
        <v>Good</v>
      </c>
      <c r="I48" t="s">
        <v>179</v>
      </c>
      <c r="J48" t="s">
        <v>184</v>
      </c>
    </row>
    <row r="49" spans="1:10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H49" s="16" t="str">
        <f t="shared" si="0"/>
        <v>Good</v>
      </c>
      <c r="J49" t="s">
        <v>184</v>
      </c>
    </row>
    <row r="50" spans="1:10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s="16" t="str">
        <f t="shared" si="0"/>
        <v>Bad</v>
      </c>
      <c r="I50" t="s">
        <v>179</v>
      </c>
      <c r="J50" t="s">
        <v>184</v>
      </c>
    </row>
    <row r="51" spans="1:10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s="16" t="str">
        <f t="shared" si="0"/>
        <v>Excellent</v>
      </c>
      <c r="I51" t="s">
        <v>181</v>
      </c>
      <c r="J51" t="s">
        <v>184</v>
      </c>
    </row>
    <row r="52" spans="1:10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s="16" t="str">
        <f t="shared" si="0"/>
        <v>Bad</v>
      </c>
      <c r="I52" t="s">
        <v>181</v>
      </c>
      <c r="J52" t="s">
        <v>184</v>
      </c>
    </row>
    <row r="53" spans="1:10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H53" s="16" t="str">
        <f t="shared" si="0"/>
        <v>Excellent</v>
      </c>
      <c r="J53" t="s">
        <v>184</v>
      </c>
    </row>
    <row r="54" spans="1:10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H54" s="16" t="str">
        <f t="shared" si="0"/>
        <v>Bad</v>
      </c>
      <c r="J54" t="s">
        <v>184</v>
      </c>
    </row>
    <row r="55" spans="1:10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s="16" t="str">
        <f t="shared" si="0"/>
        <v>Good</v>
      </c>
      <c r="I55" t="s">
        <v>181</v>
      </c>
      <c r="J55" t="s">
        <v>184</v>
      </c>
    </row>
    <row r="56" spans="1:10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s="16" t="str">
        <f t="shared" si="0"/>
        <v>Excellent</v>
      </c>
      <c r="I56" t="s">
        <v>179</v>
      </c>
      <c r="J56" t="s">
        <v>184</v>
      </c>
    </row>
    <row r="57" spans="1:10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s="16" t="str">
        <f t="shared" si="0"/>
        <v>Excellent</v>
      </c>
      <c r="I57" t="s">
        <v>181</v>
      </c>
      <c r="J57" t="s">
        <v>184</v>
      </c>
    </row>
    <row r="58" spans="1:10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s="16" t="str">
        <f t="shared" si="0"/>
        <v>Bad</v>
      </c>
      <c r="I58" t="s">
        <v>180</v>
      </c>
      <c r="J58" t="s">
        <v>184</v>
      </c>
    </row>
    <row r="59" spans="1:10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H59" s="16" t="str">
        <f t="shared" si="0"/>
        <v>Good</v>
      </c>
      <c r="J59" t="s">
        <v>184</v>
      </c>
    </row>
    <row r="60" spans="1:10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s="16" t="str">
        <f t="shared" si="0"/>
        <v>Excellent</v>
      </c>
      <c r="I60" t="s">
        <v>180</v>
      </c>
      <c r="J60" t="s">
        <v>184</v>
      </c>
    </row>
    <row r="61" spans="1:10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H61" s="16" t="str">
        <f t="shared" si="0"/>
        <v>Bad</v>
      </c>
      <c r="J61" t="s">
        <v>184</v>
      </c>
    </row>
    <row r="62" spans="1:10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s="16" t="str">
        <f t="shared" si="0"/>
        <v>Excellent</v>
      </c>
      <c r="I62" t="s">
        <v>178</v>
      </c>
      <c r="J62" t="s">
        <v>184</v>
      </c>
    </row>
    <row r="63" spans="1:10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H63" s="16" t="str">
        <f t="shared" si="0"/>
        <v>Bad</v>
      </c>
      <c r="J63" t="s">
        <v>184</v>
      </c>
    </row>
    <row r="64" spans="1:10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s="16" t="str">
        <f t="shared" si="0"/>
        <v>Excellent</v>
      </c>
      <c r="I64" t="s">
        <v>181</v>
      </c>
      <c r="J64" t="s">
        <v>184</v>
      </c>
    </row>
    <row r="65" spans="1:10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s="16" t="str">
        <f t="shared" si="0"/>
        <v>Bad</v>
      </c>
      <c r="I65" t="s">
        <v>179</v>
      </c>
      <c r="J65" t="s">
        <v>184</v>
      </c>
    </row>
    <row r="66" spans="1:10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s="16" t="str">
        <f t="shared" si="0"/>
        <v>Bad</v>
      </c>
      <c r="I66" t="s">
        <v>180</v>
      </c>
      <c r="J66" t="s">
        <v>184</v>
      </c>
    </row>
    <row r="67" spans="1:10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s="16" t="str">
        <f t="shared" ref="H67:H130" si="1">IF(G67="","",IF(G67=5,"Excellent",IF(G67&gt;=3,"Good","Bad")))</f>
        <v>Good</v>
      </c>
      <c r="I67" t="s">
        <v>180</v>
      </c>
      <c r="J67" t="s">
        <v>184</v>
      </c>
    </row>
    <row r="68" spans="1:10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s="16" t="str">
        <f t="shared" si="1"/>
        <v>Good</v>
      </c>
      <c r="I68" t="s">
        <v>179</v>
      </c>
      <c r="J68" t="s">
        <v>184</v>
      </c>
    </row>
    <row r="69" spans="1:10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s="16" t="str">
        <f t="shared" si="1"/>
        <v>Good</v>
      </c>
      <c r="I69" t="s">
        <v>181</v>
      </c>
      <c r="J69" t="s">
        <v>184</v>
      </c>
    </row>
    <row r="70" spans="1:10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H70" s="16" t="str">
        <f t="shared" si="1"/>
        <v>Bad</v>
      </c>
      <c r="J70" t="s">
        <v>184</v>
      </c>
    </row>
    <row r="71" spans="1:10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H71" s="16" t="str">
        <f t="shared" si="1"/>
        <v>Bad</v>
      </c>
      <c r="J71" t="s">
        <v>184</v>
      </c>
    </row>
    <row r="72" spans="1:10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s="16" t="str">
        <f t="shared" si="1"/>
        <v>Excellent</v>
      </c>
      <c r="I72" t="s">
        <v>181</v>
      </c>
      <c r="J72" t="s">
        <v>184</v>
      </c>
    </row>
    <row r="73" spans="1:10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H73" s="16" t="str">
        <f t="shared" si="1"/>
        <v>Good</v>
      </c>
      <c r="J73" t="s">
        <v>184</v>
      </c>
    </row>
    <row r="74" spans="1:10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s="16" t="str">
        <f t="shared" si="1"/>
        <v/>
      </c>
      <c r="I74" t="s">
        <v>179</v>
      </c>
      <c r="J74" t="s">
        <v>184</v>
      </c>
    </row>
    <row r="75" spans="1:10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s="16" t="str">
        <f t="shared" si="1"/>
        <v>Good</v>
      </c>
      <c r="I75" t="s">
        <v>181</v>
      </c>
      <c r="J75" t="s">
        <v>184</v>
      </c>
    </row>
    <row r="76" spans="1:10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H76" s="16" t="str">
        <f t="shared" si="1"/>
        <v/>
      </c>
      <c r="J76" t="s">
        <v>184</v>
      </c>
    </row>
    <row r="77" spans="1:10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s="16" t="str">
        <f t="shared" si="1"/>
        <v>Bad</v>
      </c>
      <c r="I77" t="s">
        <v>179</v>
      </c>
      <c r="J77" t="s">
        <v>184</v>
      </c>
    </row>
    <row r="78" spans="1:10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s="16" t="str">
        <f t="shared" si="1"/>
        <v>Bad</v>
      </c>
      <c r="I78" t="s">
        <v>180</v>
      </c>
      <c r="J78" t="s">
        <v>184</v>
      </c>
    </row>
    <row r="79" spans="1:10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s="16" t="str">
        <f t="shared" si="1"/>
        <v>Bad</v>
      </c>
      <c r="I79" t="s">
        <v>181</v>
      </c>
      <c r="J79" t="s">
        <v>184</v>
      </c>
    </row>
    <row r="80" spans="1:10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H80" s="16" t="str">
        <f t="shared" si="1"/>
        <v>Bad</v>
      </c>
      <c r="J80" t="s">
        <v>184</v>
      </c>
    </row>
    <row r="81" spans="1:10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s="16" t="str">
        <f t="shared" si="1"/>
        <v>Bad</v>
      </c>
      <c r="I81" t="s">
        <v>179</v>
      </c>
      <c r="J81" t="s">
        <v>184</v>
      </c>
    </row>
    <row r="82" spans="1:10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H82" s="16" t="str">
        <f t="shared" si="1"/>
        <v/>
      </c>
      <c r="J82" t="s">
        <v>184</v>
      </c>
    </row>
    <row r="83" spans="1:10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s="16" t="str">
        <f t="shared" si="1"/>
        <v>Good</v>
      </c>
      <c r="I83" t="s">
        <v>181</v>
      </c>
      <c r="J83" t="s">
        <v>184</v>
      </c>
    </row>
    <row r="84" spans="1:10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H84" s="16" t="str">
        <f t="shared" si="1"/>
        <v>Bad</v>
      </c>
      <c r="J84" t="s">
        <v>184</v>
      </c>
    </row>
    <row r="85" spans="1:10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s="16" t="str">
        <f t="shared" si="1"/>
        <v/>
      </c>
      <c r="I85" t="s">
        <v>179</v>
      </c>
      <c r="J85" t="s">
        <v>184</v>
      </c>
    </row>
    <row r="86" spans="1:10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s="16" t="str">
        <f t="shared" si="1"/>
        <v>Good</v>
      </c>
      <c r="I86" t="s">
        <v>181</v>
      </c>
      <c r="J86" t="s">
        <v>184</v>
      </c>
    </row>
    <row r="87" spans="1:10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s="16" t="str">
        <f t="shared" si="1"/>
        <v>Excellent</v>
      </c>
      <c r="I87" t="s">
        <v>179</v>
      </c>
      <c r="J87" t="s">
        <v>184</v>
      </c>
    </row>
    <row r="88" spans="1:10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s="16" t="str">
        <f t="shared" si="1"/>
        <v>Good</v>
      </c>
      <c r="I88" t="s">
        <v>180</v>
      </c>
      <c r="J88" t="s">
        <v>184</v>
      </c>
    </row>
    <row r="89" spans="1:10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s="16" t="str">
        <f t="shared" si="1"/>
        <v>Good</v>
      </c>
      <c r="I89" t="s">
        <v>180</v>
      </c>
      <c r="J89" t="s">
        <v>184</v>
      </c>
    </row>
    <row r="90" spans="1:10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H90" s="16" t="str">
        <f t="shared" si="1"/>
        <v>Good</v>
      </c>
      <c r="J90" t="s">
        <v>184</v>
      </c>
    </row>
    <row r="91" spans="1:10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s="16" t="str">
        <f t="shared" si="1"/>
        <v>Good</v>
      </c>
      <c r="I91" t="s">
        <v>179</v>
      </c>
      <c r="J91" t="s">
        <v>184</v>
      </c>
    </row>
    <row r="92" spans="1:10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s="16" t="str">
        <f t="shared" si="1"/>
        <v>Good</v>
      </c>
      <c r="I92" t="s">
        <v>178</v>
      </c>
      <c r="J92" t="s">
        <v>184</v>
      </c>
    </row>
    <row r="93" spans="1:10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s="16" t="str">
        <f t="shared" si="1"/>
        <v>Bad</v>
      </c>
      <c r="I93" t="s">
        <v>180</v>
      </c>
      <c r="J93" t="s">
        <v>184</v>
      </c>
    </row>
    <row r="94" spans="1:10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s="16" t="str">
        <f t="shared" si="1"/>
        <v>Excellent</v>
      </c>
      <c r="I94" t="s">
        <v>180</v>
      </c>
      <c r="J94" t="s">
        <v>184</v>
      </c>
    </row>
    <row r="95" spans="1:10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s="16" t="str">
        <f t="shared" si="1"/>
        <v>Good</v>
      </c>
      <c r="I95" t="s">
        <v>180</v>
      </c>
      <c r="J95" t="s">
        <v>184</v>
      </c>
    </row>
    <row r="96" spans="1:10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s="16" t="str">
        <f t="shared" si="1"/>
        <v/>
      </c>
      <c r="I96" t="s">
        <v>181</v>
      </c>
      <c r="J96" t="s">
        <v>184</v>
      </c>
    </row>
    <row r="97" spans="1:10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s="16" t="str">
        <f t="shared" si="1"/>
        <v/>
      </c>
      <c r="I97" t="s">
        <v>179</v>
      </c>
      <c r="J97" t="s">
        <v>184</v>
      </c>
    </row>
    <row r="98" spans="1:10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H98" s="16" t="str">
        <f t="shared" si="1"/>
        <v>Good</v>
      </c>
      <c r="J98" t="s">
        <v>184</v>
      </c>
    </row>
    <row r="99" spans="1:10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s="16" t="str">
        <f t="shared" si="1"/>
        <v>Bad</v>
      </c>
      <c r="I99" t="s">
        <v>180</v>
      </c>
      <c r="J99" t="s">
        <v>184</v>
      </c>
    </row>
    <row r="100" spans="1:10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s="16" t="str">
        <f t="shared" si="1"/>
        <v/>
      </c>
      <c r="I100" t="s">
        <v>180</v>
      </c>
      <c r="J100" t="s">
        <v>184</v>
      </c>
    </row>
    <row r="101" spans="1:10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s="16" t="str">
        <f t="shared" si="1"/>
        <v>Good</v>
      </c>
      <c r="I101" t="s">
        <v>180</v>
      </c>
      <c r="J101" t="s">
        <v>184</v>
      </c>
    </row>
    <row r="102" spans="1:10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s="16" t="str">
        <f t="shared" si="1"/>
        <v>Bad</v>
      </c>
      <c r="I102" t="s">
        <v>179</v>
      </c>
      <c r="J102" t="s">
        <v>184</v>
      </c>
    </row>
    <row r="103" spans="1:10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s="16" t="str">
        <f t="shared" si="1"/>
        <v/>
      </c>
      <c r="I103" t="s">
        <v>180</v>
      </c>
      <c r="J103" t="s">
        <v>184</v>
      </c>
    </row>
    <row r="104" spans="1:10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s="16" t="str">
        <f t="shared" si="1"/>
        <v/>
      </c>
      <c r="I104" t="s">
        <v>181</v>
      </c>
      <c r="J104" t="s">
        <v>184</v>
      </c>
    </row>
    <row r="105" spans="1:10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s="16" t="str">
        <f t="shared" si="1"/>
        <v>Excellent</v>
      </c>
      <c r="I105" t="s">
        <v>179</v>
      </c>
      <c r="J105" t="s">
        <v>184</v>
      </c>
    </row>
    <row r="106" spans="1:10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H106" s="16" t="str">
        <f t="shared" si="1"/>
        <v>Bad</v>
      </c>
      <c r="J106" t="s">
        <v>184</v>
      </c>
    </row>
    <row r="107" spans="1:10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s="16" t="str">
        <f t="shared" si="1"/>
        <v>Good</v>
      </c>
      <c r="I107" t="s">
        <v>179</v>
      </c>
      <c r="J107" t="s">
        <v>184</v>
      </c>
    </row>
    <row r="108" spans="1:10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s="16" t="str">
        <f t="shared" si="1"/>
        <v/>
      </c>
      <c r="I108" t="s">
        <v>180</v>
      </c>
      <c r="J108" t="s">
        <v>184</v>
      </c>
    </row>
    <row r="109" spans="1:10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s="16" t="str">
        <f t="shared" si="1"/>
        <v>Bad</v>
      </c>
      <c r="I109" t="s">
        <v>181</v>
      </c>
      <c r="J109" t="s">
        <v>184</v>
      </c>
    </row>
    <row r="110" spans="1:10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H110" s="16" t="str">
        <f t="shared" si="1"/>
        <v>Bad</v>
      </c>
      <c r="J110" t="s">
        <v>184</v>
      </c>
    </row>
    <row r="111" spans="1:10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s="16" t="str">
        <f t="shared" si="1"/>
        <v>Bad</v>
      </c>
      <c r="I111" t="s">
        <v>181</v>
      </c>
      <c r="J111" t="s">
        <v>184</v>
      </c>
    </row>
    <row r="112" spans="1:10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s="16" t="str">
        <f t="shared" si="1"/>
        <v>Bad</v>
      </c>
      <c r="I112" t="s">
        <v>181</v>
      </c>
      <c r="J112" t="s">
        <v>184</v>
      </c>
    </row>
    <row r="113" spans="1:10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s="16" t="str">
        <f t="shared" si="1"/>
        <v>Excellent</v>
      </c>
      <c r="I113" t="s">
        <v>181</v>
      </c>
      <c r="J113" t="s">
        <v>184</v>
      </c>
    </row>
    <row r="114" spans="1:10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s="16" t="str">
        <f t="shared" si="1"/>
        <v/>
      </c>
      <c r="I114" t="s">
        <v>179</v>
      </c>
      <c r="J114" t="s">
        <v>184</v>
      </c>
    </row>
    <row r="115" spans="1:10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s="16" t="str">
        <f t="shared" si="1"/>
        <v>Bad</v>
      </c>
      <c r="I115" t="s">
        <v>180</v>
      </c>
      <c r="J115" t="s">
        <v>184</v>
      </c>
    </row>
    <row r="116" spans="1:10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H116" s="16" t="str">
        <f t="shared" si="1"/>
        <v>Good</v>
      </c>
      <c r="J116" t="s">
        <v>184</v>
      </c>
    </row>
    <row r="117" spans="1:10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s="16" t="str">
        <f t="shared" si="1"/>
        <v>Good</v>
      </c>
      <c r="I117" t="s">
        <v>181</v>
      </c>
      <c r="J117" t="s">
        <v>184</v>
      </c>
    </row>
    <row r="118" spans="1:10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s="16" t="str">
        <f t="shared" si="1"/>
        <v>Excellent</v>
      </c>
      <c r="I118" t="s">
        <v>181</v>
      </c>
      <c r="J118" t="s">
        <v>184</v>
      </c>
    </row>
    <row r="119" spans="1:10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H119" s="16" t="str">
        <f t="shared" si="1"/>
        <v>Bad</v>
      </c>
      <c r="J119" t="s">
        <v>184</v>
      </c>
    </row>
    <row r="120" spans="1:10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H120" s="16" t="str">
        <f t="shared" si="1"/>
        <v>Good</v>
      </c>
      <c r="J120" t="s">
        <v>184</v>
      </c>
    </row>
    <row r="121" spans="1:10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s="16" t="str">
        <f t="shared" si="1"/>
        <v/>
      </c>
      <c r="I121" t="s">
        <v>181</v>
      </c>
      <c r="J121" t="s">
        <v>184</v>
      </c>
    </row>
    <row r="122" spans="1:10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s="16" t="str">
        <f t="shared" si="1"/>
        <v>Excellent</v>
      </c>
      <c r="I122" t="s">
        <v>178</v>
      </c>
      <c r="J122" t="s">
        <v>184</v>
      </c>
    </row>
    <row r="123" spans="1:10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H123" s="16" t="str">
        <f t="shared" si="1"/>
        <v>Bad</v>
      </c>
      <c r="J123" t="s">
        <v>184</v>
      </c>
    </row>
    <row r="124" spans="1:10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s="16" t="str">
        <f t="shared" si="1"/>
        <v>Good</v>
      </c>
      <c r="I124" t="s">
        <v>180</v>
      </c>
      <c r="J124" t="s">
        <v>184</v>
      </c>
    </row>
    <row r="125" spans="1:10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s="16" t="str">
        <f t="shared" si="1"/>
        <v>Excellent</v>
      </c>
      <c r="I125" t="s">
        <v>180</v>
      </c>
      <c r="J125" t="s">
        <v>184</v>
      </c>
    </row>
    <row r="126" spans="1:10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s="16" t="str">
        <f t="shared" si="1"/>
        <v>Bad</v>
      </c>
      <c r="I126" t="s">
        <v>181</v>
      </c>
      <c r="J126" t="s">
        <v>184</v>
      </c>
    </row>
    <row r="127" spans="1:10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H127" s="16" t="str">
        <f t="shared" si="1"/>
        <v>Excellent</v>
      </c>
      <c r="J127" t="s">
        <v>184</v>
      </c>
    </row>
    <row r="128" spans="1:10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s="16" t="str">
        <f t="shared" si="1"/>
        <v>Good</v>
      </c>
      <c r="I128" t="s">
        <v>180</v>
      </c>
      <c r="J128" t="s">
        <v>184</v>
      </c>
    </row>
    <row r="129" spans="1:10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s="16" t="str">
        <f t="shared" si="1"/>
        <v>Bad</v>
      </c>
      <c r="I129" t="s">
        <v>180</v>
      </c>
      <c r="J129" t="s">
        <v>184</v>
      </c>
    </row>
    <row r="130" spans="1:10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H130" s="16" t="str">
        <f t="shared" si="1"/>
        <v>Bad</v>
      </c>
      <c r="J130" t="s">
        <v>184</v>
      </c>
    </row>
    <row r="131" spans="1:10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H131" s="16" t="str">
        <f t="shared" ref="H131:H152" si="2">IF(G131="","",IF(G131=5,"Excellent",IF(G131&gt;=3,"Good","Bad")))</f>
        <v/>
      </c>
      <c r="J131" t="s">
        <v>184</v>
      </c>
    </row>
    <row r="132" spans="1:10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s="16" t="str">
        <f t="shared" si="2"/>
        <v>Good</v>
      </c>
      <c r="I132" t="s">
        <v>180</v>
      </c>
      <c r="J132" t="s">
        <v>184</v>
      </c>
    </row>
    <row r="133" spans="1:10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s="16" t="str">
        <f t="shared" si="2"/>
        <v>Good</v>
      </c>
      <c r="I133" t="s">
        <v>179</v>
      </c>
      <c r="J133" t="s">
        <v>184</v>
      </c>
    </row>
    <row r="134" spans="1:10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s="16" t="str">
        <f t="shared" si="2"/>
        <v>Good</v>
      </c>
      <c r="I134" t="s">
        <v>179</v>
      </c>
      <c r="J134" t="s">
        <v>184</v>
      </c>
    </row>
    <row r="135" spans="1:10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H135" s="16" t="str">
        <f t="shared" si="2"/>
        <v>Good</v>
      </c>
      <c r="J135" t="s">
        <v>184</v>
      </c>
    </row>
    <row r="136" spans="1:10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s="16" t="str">
        <f t="shared" si="2"/>
        <v>Bad</v>
      </c>
      <c r="I136" t="s">
        <v>179</v>
      </c>
      <c r="J136" t="s">
        <v>184</v>
      </c>
    </row>
    <row r="137" spans="1:10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s="16" t="str">
        <f t="shared" si="2"/>
        <v>Good</v>
      </c>
      <c r="I137" t="s">
        <v>181</v>
      </c>
      <c r="J137" t="s">
        <v>184</v>
      </c>
    </row>
    <row r="138" spans="1:10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s="16" t="str">
        <f t="shared" si="2"/>
        <v>Good</v>
      </c>
      <c r="I138" t="s">
        <v>179</v>
      </c>
      <c r="J138" t="s">
        <v>184</v>
      </c>
    </row>
    <row r="139" spans="1:10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H139" s="16" t="str">
        <f t="shared" si="2"/>
        <v/>
      </c>
      <c r="J139" t="s">
        <v>184</v>
      </c>
    </row>
    <row r="140" spans="1:10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s="16" t="str">
        <f t="shared" si="2"/>
        <v>Good</v>
      </c>
      <c r="I140" t="s">
        <v>181</v>
      </c>
      <c r="J140" t="s">
        <v>184</v>
      </c>
    </row>
    <row r="141" spans="1:10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H141" s="16" t="str">
        <f t="shared" si="2"/>
        <v>Bad</v>
      </c>
      <c r="J141" t="s">
        <v>184</v>
      </c>
    </row>
    <row r="142" spans="1:10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s="16" t="str">
        <f t="shared" si="2"/>
        <v>Good</v>
      </c>
      <c r="I142" t="s">
        <v>179</v>
      </c>
      <c r="J142" t="s">
        <v>184</v>
      </c>
    </row>
    <row r="143" spans="1:10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s="16" t="str">
        <f t="shared" si="2"/>
        <v>Excellent</v>
      </c>
      <c r="I143" t="s">
        <v>179</v>
      </c>
      <c r="J143" t="s">
        <v>184</v>
      </c>
    </row>
    <row r="144" spans="1:10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s="16" t="str">
        <f t="shared" si="2"/>
        <v>Good</v>
      </c>
      <c r="I144" t="s">
        <v>179</v>
      </c>
      <c r="J144" t="s">
        <v>184</v>
      </c>
    </row>
    <row r="145" spans="1:10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H145" s="16" t="str">
        <f t="shared" si="2"/>
        <v/>
      </c>
      <c r="J145" t="s">
        <v>184</v>
      </c>
    </row>
    <row r="146" spans="1:10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H146" s="16" t="str">
        <f t="shared" si="2"/>
        <v>Bad</v>
      </c>
      <c r="J146" t="s">
        <v>184</v>
      </c>
    </row>
    <row r="147" spans="1:10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s="16" t="str">
        <f t="shared" si="2"/>
        <v>Excellent</v>
      </c>
      <c r="I147" t="s">
        <v>181</v>
      </c>
      <c r="J147" t="s">
        <v>184</v>
      </c>
    </row>
    <row r="148" spans="1:10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H148" s="16" t="str">
        <f t="shared" si="2"/>
        <v>Bad</v>
      </c>
      <c r="J148" t="s">
        <v>184</v>
      </c>
    </row>
    <row r="149" spans="1:10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H149" s="16" t="str">
        <f t="shared" si="2"/>
        <v>Bad</v>
      </c>
      <c r="J149" t="s">
        <v>184</v>
      </c>
    </row>
    <row r="150" spans="1:10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s="16" t="str">
        <f t="shared" si="2"/>
        <v>Bad</v>
      </c>
      <c r="I150" t="s">
        <v>179</v>
      </c>
      <c r="J150" t="s">
        <v>184</v>
      </c>
    </row>
    <row r="151" spans="1:10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s="16" t="str">
        <f t="shared" si="2"/>
        <v>Excellent</v>
      </c>
      <c r="I151" t="s">
        <v>179</v>
      </c>
      <c r="J151" t="s">
        <v>184</v>
      </c>
    </row>
    <row r="152" spans="1:10" x14ac:dyDescent="0.3">
      <c r="G152" s="17"/>
      <c r="H152" s="16" t="str">
        <f t="shared" si="2"/>
        <v/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FF6B-122F-4148-BC5B-D08D736D9F95}">
  <dimension ref="A1:P152"/>
  <sheetViews>
    <sheetView topLeftCell="B1" workbookViewId="0">
      <selection activeCell="I7" sqref="I7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0.77734375" bestFit="1" customWidth="1"/>
    <col min="9" max="9" width="11.5546875" bestFit="1" customWidth="1"/>
    <col min="10" max="10" width="20.44140625" bestFit="1" customWidth="1"/>
    <col min="11" max="11" width="13.21875" bestFit="1" customWidth="1"/>
    <col min="12" max="12" width="11.5546875" bestFit="1" customWidth="1"/>
    <col min="13" max="13" width="12.21875" bestFit="1" customWidth="1"/>
    <col min="15" max="15" width="10.5546875" bestFit="1" customWidth="1"/>
    <col min="16" max="16" width="9" bestFit="1" customWidth="1"/>
  </cols>
  <sheetData>
    <row r="1" spans="1:16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20" t="s">
        <v>201</v>
      </c>
      <c r="I1" s="13" t="s">
        <v>7</v>
      </c>
      <c r="J1" s="13" t="s">
        <v>8</v>
      </c>
      <c r="K1" s="13" t="s">
        <v>209</v>
      </c>
      <c r="L1" s="13" t="s">
        <v>210</v>
      </c>
      <c r="M1" s="13" t="s">
        <v>213</v>
      </c>
      <c r="N1" s="13" t="s">
        <v>211</v>
      </c>
      <c r="O1" s="13" t="s">
        <v>212</v>
      </c>
      <c r="P1" s="13" t="s">
        <v>215</v>
      </c>
    </row>
    <row r="2" spans="1:16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s="16" t="s">
        <v>205</v>
      </c>
      <c r="I2" t="s">
        <v>178</v>
      </c>
      <c r="J2" t="s">
        <v>182</v>
      </c>
      <c r="K2" t="str">
        <f>UPPER(Table5[[#This Row],[Name]])</f>
        <v/>
      </c>
      <c r="L2" t="str">
        <f>LOWER(Table5[[#This Row],[Name]])</f>
        <v/>
      </c>
      <c r="M2" t="str">
        <f>PROPER(Table5[[#This Row],[Name]])</f>
        <v/>
      </c>
      <c r="N2" t="str">
        <f>LEFT(Table5[[#This Row],[Employee ID]],3)</f>
        <v>EMP</v>
      </c>
      <c r="O2" t="str">
        <f>RIGHT(Table5[[#This Row],[Employee ID]],4)</f>
        <v>1000</v>
      </c>
    </row>
    <row r="3" spans="1:16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s="16" t="s">
        <v>205</v>
      </c>
      <c r="I3" t="s">
        <v>179</v>
      </c>
      <c r="J3" t="s">
        <v>183</v>
      </c>
      <c r="K3" t="str">
        <f>UPPER(Table5[[#This Row],[Name]])</f>
        <v>EVE ADAMS</v>
      </c>
      <c r="L3" t="str">
        <f>LOWER(Table5[[#This Row],[Name]])</f>
        <v>eve adams</v>
      </c>
      <c r="M3" t="str">
        <f>PROPER(Table5[[#This Row],[Name]])</f>
        <v>Eve Adams</v>
      </c>
      <c r="N3" t="str">
        <f>LEFT(Table5[[#This Row],[Employee ID]],3)</f>
        <v>EMP</v>
      </c>
      <c r="O3" t="str">
        <f>RIGHT(Table5[[#This Row],[Employee ID]],4)</f>
        <v>1001</v>
      </c>
      <c r="P3" t="str">
        <f>MID(Table5[[#This Row],[Email]],1,7)</f>
        <v>user106</v>
      </c>
    </row>
    <row r="4" spans="1:16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H4" s="16" t="s">
        <v>205</v>
      </c>
      <c r="J4" t="s">
        <v>184</v>
      </c>
      <c r="K4" t="str">
        <f>UPPER(Table5[[#This Row],[Name]])</f>
        <v>ALICE BROWN</v>
      </c>
      <c r="L4" t="str">
        <f>LOWER(Table5[[#This Row],[Name]])</f>
        <v>alice brown</v>
      </c>
      <c r="M4" t="str">
        <f>PROPER(Table5[[#This Row],[Name]])</f>
        <v>Alice Brown</v>
      </c>
      <c r="N4" t="str">
        <f>LEFT(Table5[[#This Row],[Employee ID]],3)</f>
        <v>EMP</v>
      </c>
      <c r="O4" t="str">
        <f>RIGHT(Table5[[#This Row],[Employee ID]],4)</f>
        <v>1002</v>
      </c>
      <c r="P4" t="str">
        <f>MID(Table5[[#This Row],[Email]],1,7)</f>
        <v>user176</v>
      </c>
    </row>
    <row r="5" spans="1:16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s="16" t="s">
        <v>205</v>
      </c>
      <c r="I5" t="s">
        <v>180</v>
      </c>
      <c r="J5" t="s">
        <v>184</v>
      </c>
      <c r="K5" t="str">
        <f>UPPER(Table5[[#This Row],[Name]])</f>
        <v>JOHN DOE</v>
      </c>
      <c r="L5" t="str">
        <f>LOWER(Table5[[#This Row],[Name]])</f>
        <v>john doe</v>
      </c>
      <c r="M5" t="str">
        <f>PROPER(Table5[[#This Row],[Name]])</f>
        <v>John Doe</v>
      </c>
      <c r="N5" t="str">
        <f>LEFT(Table5[[#This Row],[Employee ID]],3)</f>
        <v>EMP</v>
      </c>
      <c r="O5" t="str">
        <f>RIGHT(Table5[[#This Row],[Employee ID]],4)</f>
        <v>1003</v>
      </c>
      <c r="P5" t="str">
        <f>MID(Table5[[#This Row],[Email]],1,7)</f>
        <v>user176</v>
      </c>
    </row>
    <row r="6" spans="1:16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s="16" t="s">
        <v>205</v>
      </c>
      <c r="I6" t="s">
        <v>180</v>
      </c>
      <c r="J6" t="s">
        <v>184</v>
      </c>
      <c r="K6" t="str">
        <f>UPPER(Table5[[#This Row],[Name]])</f>
        <v>JANE SMITH</v>
      </c>
      <c r="L6" t="str">
        <f>LOWER(Table5[[#This Row],[Name]])</f>
        <v>jane smith</v>
      </c>
      <c r="M6" t="str">
        <f>PROPER(Table5[[#This Row],[Name]])</f>
        <v>Jane Smith</v>
      </c>
      <c r="N6" t="str">
        <f>LEFT(Table5[[#This Row],[Employee ID]],3)</f>
        <v>EMP</v>
      </c>
      <c r="O6" t="str">
        <f>RIGHT(Table5[[#This Row],[Employee ID]],4)</f>
        <v>1004</v>
      </c>
      <c r="P6" t="str">
        <f>MID(Table5[[#This Row],[Email]],1,7)</f>
        <v>user176</v>
      </c>
    </row>
    <row r="7" spans="1:16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s="16" t="s">
        <v>205</v>
      </c>
      <c r="I7" t="s">
        <v>181</v>
      </c>
      <c r="J7" t="s">
        <v>184</v>
      </c>
      <c r="K7" t="str">
        <f>UPPER(Table5[[#This Row],[Name]])</f>
        <v>ALICE BROWN</v>
      </c>
      <c r="L7" t="str">
        <f>LOWER(Table5[[#This Row],[Name]])</f>
        <v>alice brown</v>
      </c>
      <c r="M7" t="str">
        <f>PROPER(Table5[[#This Row],[Name]])</f>
        <v>Alice Brown</v>
      </c>
      <c r="N7" t="str">
        <f>LEFT(Table5[[#This Row],[Employee ID]],3)</f>
        <v>EMP</v>
      </c>
      <c r="O7" t="str">
        <f>RIGHT(Table5[[#This Row],[Employee ID]],4)</f>
        <v>1005</v>
      </c>
      <c r="P7" t="str">
        <f>MID(Table5[[#This Row],[Email]],1,7)</f>
        <v>user176</v>
      </c>
    </row>
    <row r="8" spans="1:16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s="16" t="s">
        <v>206</v>
      </c>
      <c r="I8" t="s">
        <v>180</v>
      </c>
      <c r="J8" t="s">
        <v>184</v>
      </c>
      <c r="K8" t="str">
        <f>UPPER(Table5[[#This Row],[Name]])</f>
        <v>SAM WILSON</v>
      </c>
      <c r="L8" t="str">
        <f>LOWER(Table5[[#This Row],[Name]])</f>
        <v>sam wilson</v>
      </c>
      <c r="M8" t="str">
        <f>PROPER(Table5[[#This Row],[Name]])</f>
        <v>Sam Wilson</v>
      </c>
      <c r="N8" t="str">
        <f>LEFT(Table5[[#This Row],[Employee ID]],3)</f>
        <v>EMP</v>
      </c>
      <c r="O8" t="str">
        <f>RIGHT(Table5[[#This Row],[Employee ID]],4)</f>
        <v>1006</v>
      </c>
      <c r="P8" t="str">
        <f>MID(Table5[[#This Row],[Email]],1,7)</f>
        <v>user176</v>
      </c>
    </row>
    <row r="9" spans="1:16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s="16" t="s">
        <v>205</v>
      </c>
      <c r="I9" t="s">
        <v>179</v>
      </c>
      <c r="J9" t="s">
        <v>184</v>
      </c>
      <c r="K9" t="str">
        <f>UPPER(Table5[[#This Row],[Name]])</f>
        <v>CHRIS LEE</v>
      </c>
      <c r="L9" t="str">
        <f>LOWER(Table5[[#This Row],[Name]])</f>
        <v>chris lee</v>
      </c>
      <c r="M9" t="str">
        <f>PROPER(Table5[[#This Row],[Name]])</f>
        <v>Chris Lee</v>
      </c>
      <c r="N9" t="str">
        <f>LEFT(Table5[[#This Row],[Employee ID]],3)</f>
        <v>EMP</v>
      </c>
      <c r="O9" t="str">
        <f>RIGHT(Table5[[#This Row],[Employee ID]],4)</f>
        <v>1007</v>
      </c>
      <c r="P9" t="str">
        <f>MID(Table5[[#This Row],[Email]],1,7)</f>
        <v>user176</v>
      </c>
    </row>
    <row r="10" spans="1:16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s="16" t="s">
        <v>206</v>
      </c>
      <c r="I10" t="s">
        <v>181</v>
      </c>
      <c r="J10" t="s">
        <v>184</v>
      </c>
      <c r="K10" t="str">
        <f>UPPER(Table5[[#This Row],[Name]])</f>
        <v>ALICE BROWN</v>
      </c>
      <c r="L10" t="str">
        <f>LOWER(Table5[[#This Row],[Name]])</f>
        <v>alice brown</v>
      </c>
      <c r="M10" t="str">
        <f>PROPER(Table5[[#This Row],[Name]])</f>
        <v>Alice Brown</v>
      </c>
      <c r="N10" t="str">
        <f>LEFT(Table5[[#This Row],[Employee ID]],3)</f>
        <v>EMP</v>
      </c>
      <c r="O10" t="str">
        <f>RIGHT(Table5[[#This Row],[Employee ID]],4)</f>
        <v>1008</v>
      </c>
      <c r="P10" t="str">
        <f>MID(Table5[[#This Row],[Email]],1,7)</f>
        <v>user176</v>
      </c>
    </row>
    <row r="11" spans="1:16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s="16" t="s">
        <v>206</v>
      </c>
      <c r="I11" t="s">
        <v>180</v>
      </c>
      <c r="J11" t="s">
        <v>184</v>
      </c>
      <c r="K11" t="str">
        <f>UPPER(Table5[[#This Row],[Name]])</f>
        <v>CHRIS LEE</v>
      </c>
      <c r="L11" t="str">
        <f>LOWER(Table5[[#This Row],[Name]])</f>
        <v>chris lee</v>
      </c>
      <c r="M11" t="str">
        <f>PROPER(Table5[[#This Row],[Name]])</f>
        <v>Chris Lee</v>
      </c>
      <c r="N11" t="str">
        <f>LEFT(Table5[[#This Row],[Employee ID]],3)</f>
        <v>EMP</v>
      </c>
      <c r="O11" t="str">
        <f>RIGHT(Table5[[#This Row],[Employee ID]],4)</f>
        <v>1009</v>
      </c>
      <c r="P11" t="str">
        <f>MID(Table5[[#This Row],[Email]],1,7)</f>
        <v>user176</v>
      </c>
    </row>
    <row r="12" spans="1:16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s="16" t="s">
        <v>205</v>
      </c>
      <c r="I12" t="s">
        <v>181</v>
      </c>
      <c r="J12" t="s">
        <v>184</v>
      </c>
      <c r="K12" t="str">
        <f>UPPER(Table5[[#This Row],[Name]])</f>
        <v>SAM WILSON</v>
      </c>
      <c r="L12" t="str">
        <f>LOWER(Table5[[#This Row],[Name]])</f>
        <v>sam wilson</v>
      </c>
      <c r="M12" t="str">
        <f>PROPER(Table5[[#This Row],[Name]])</f>
        <v>Sam Wilson</v>
      </c>
      <c r="N12" t="str">
        <f>LEFT(Table5[[#This Row],[Employee ID]],3)</f>
        <v>EMP</v>
      </c>
      <c r="O12" t="str">
        <f>RIGHT(Table5[[#This Row],[Employee ID]],4)</f>
        <v>1010</v>
      </c>
      <c r="P12" t="str">
        <f>MID(Table5[[#This Row],[Email]],1,7)</f>
        <v>user176</v>
      </c>
    </row>
    <row r="13" spans="1:16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s="16" t="s">
        <v>207</v>
      </c>
      <c r="I13" t="s">
        <v>180</v>
      </c>
      <c r="J13" t="s">
        <v>184</v>
      </c>
      <c r="K13" t="str">
        <f>UPPER(Table5[[#This Row],[Name]])</f>
        <v>SAM WILSON</v>
      </c>
      <c r="L13" t="str">
        <f>LOWER(Table5[[#This Row],[Name]])</f>
        <v>sam wilson</v>
      </c>
      <c r="M13" t="str">
        <f>PROPER(Table5[[#This Row],[Name]])</f>
        <v>Sam Wilson</v>
      </c>
      <c r="N13" t="str">
        <f>LEFT(Table5[[#This Row],[Employee ID]],3)</f>
        <v>EMP</v>
      </c>
      <c r="O13" t="str">
        <f>RIGHT(Table5[[#This Row],[Employee ID]],4)</f>
        <v>1011</v>
      </c>
      <c r="P13" t="str">
        <f>MID(Table5[[#This Row],[Email]],1,7)</f>
        <v>user176</v>
      </c>
    </row>
    <row r="14" spans="1:16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s="16" t="s">
        <v>207</v>
      </c>
      <c r="I14" t="s">
        <v>180</v>
      </c>
      <c r="J14" t="s">
        <v>184</v>
      </c>
      <c r="K14" t="str">
        <f>UPPER(Table5[[#This Row],[Name]])</f>
        <v>BOB JOHNSON</v>
      </c>
      <c r="L14" t="str">
        <f>LOWER(Table5[[#This Row],[Name]])</f>
        <v>bob johnson</v>
      </c>
      <c r="M14" t="str">
        <f>PROPER(Table5[[#This Row],[Name]])</f>
        <v>Bob Johnson</v>
      </c>
      <c r="N14" t="str">
        <f>LEFT(Table5[[#This Row],[Employee ID]],3)</f>
        <v>EMP</v>
      </c>
      <c r="O14" t="str">
        <f>RIGHT(Table5[[#This Row],[Employee ID]],4)</f>
        <v>1012</v>
      </c>
      <c r="P14" t="str">
        <f>MID(Table5[[#This Row],[Email]],1,7)</f>
        <v>user176</v>
      </c>
    </row>
    <row r="15" spans="1:16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H15" s="16" t="s">
        <v>208</v>
      </c>
      <c r="J15" t="s">
        <v>184</v>
      </c>
      <c r="K15" t="str">
        <f>UPPER(Table5[[#This Row],[Name]])</f>
        <v>SAM WILSON</v>
      </c>
      <c r="L15" t="str">
        <f>LOWER(Table5[[#This Row],[Name]])</f>
        <v>sam wilson</v>
      </c>
      <c r="M15" t="str">
        <f>PROPER(Table5[[#This Row],[Name]])</f>
        <v>Sam Wilson</v>
      </c>
      <c r="N15" t="str">
        <f>LEFT(Table5[[#This Row],[Employee ID]],3)</f>
        <v>EMP</v>
      </c>
      <c r="O15" t="str">
        <f>RIGHT(Table5[[#This Row],[Employee ID]],4)</f>
        <v>1013</v>
      </c>
      <c r="P15" t="str">
        <f>MID(Table5[[#This Row],[Email]],1,7)</f>
        <v>user176</v>
      </c>
    </row>
    <row r="16" spans="1:16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s="16" t="s">
        <v>205</v>
      </c>
      <c r="I16" t="s">
        <v>180</v>
      </c>
      <c r="J16" t="s">
        <v>184</v>
      </c>
      <c r="K16" t="str">
        <f>UPPER(Table5[[#This Row],[Name]])</f>
        <v>JANE SMITH</v>
      </c>
      <c r="L16" t="str">
        <f>LOWER(Table5[[#This Row],[Name]])</f>
        <v>jane smith</v>
      </c>
      <c r="M16" t="str">
        <f>PROPER(Table5[[#This Row],[Name]])</f>
        <v>Jane Smith</v>
      </c>
      <c r="N16" t="str">
        <f>LEFT(Table5[[#This Row],[Employee ID]],3)</f>
        <v>EMP</v>
      </c>
      <c r="O16" t="str">
        <f>RIGHT(Table5[[#This Row],[Employee ID]],4)</f>
        <v>1014</v>
      </c>
      <c r="P16" t="str">
        <f>MID(Table5[[#This Row],[Email]],1,7)</f>
        <v>user176</v>
      </c>
    </row>
    <row r="17" spans="1:16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s="16" t="s">
        <v>208</v>
      </c>
      <c r="I17" t="s">
        <v>179</v>
      </c>
      <c r="J17" t="s">
        <v>184</v>
      </c>
      <c r="K17" t="str">
        <f>UPPER(Table5[[#This Row],[Name]])</f>
        <v/>
      </c>
      <c r="L17" t="str">
        <f>LOWER(Table5[[#This Row],[Name]])</f>
        <v/>
      </c>
      <c r="M17" t="str">
        <f>PROPER(Table5[[#This Row],[Name]])</f>
        <v/>
      </c>
      <c r="N17" t="str">
        <f>LEFT(Table5[[#This Row],[Employee ID]],3)</f>
        <v>EMP</v>
      </c>
      <c r="O17" t="str">
        <f>RIGHT(Table5[[#This Row],[Employee ID]],4)</f>
        <v>1015</v>
      </c>
      <c r="P17" t="str">
        <f>MID(Table5[[#This Row],[Email]],1,7)</f>
        <v>user176</v>
      </c>
    </row>
    <row r="18" spans="1:16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H18" s="16" t="s">
        <v>206</v>
      </c>
      <c r="J18" t="s">
        <v>184</v>
      </c>
      <c r="K18" t="str">
        <f>UPPER(Table5[[#This Row],[Name]])</f>
        <v>BOB JOHNSON</v>
      </c>
      <c r="L18" t="str">
        <f>LOWER(Table5[[#This Row],[Name]])</f>
        <v>bob johnson</v>
      </c>
      <c r="M18" t="str">
        <f>PROPER(Table5[[#This Row],[Name]])</f>
        <v>Bob Johnson</v>
      </c>
      <c r="N18" t="str">
        <f>LEFT(Table5[[#This Row],[Employee ID]],3)</f>
        <v>EMP</v>
      </c>
      <c r="O18" t="str">
        <f>RIGHT(Table5[[#This Row],[Employee ID]],4)</f>
        <v>1016</v>
      </c>
      <c r="P18" t="str">
        <f>MID(Table5[[#This Row],[Email]],1,7)</f>
        <v>user176</v>
      </c>
    </row>
    <row r="19" spans="1:16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s="16" t="s">
        <v>205</v>
      </c>
      <c r="I19" t="s">
        <v>179</v>
      </c>
      <c r="J19" t="s">
        <v>184</v>
      </c>
      <c r="K19" t="str">
        <f>UPPER(Table5[[#This Row],[Name]])</f>
        <v>JANE SMITH</v>
      </c>
      <c r="L19" t="str">
        <f>LOWER(Table5[[#This Row],[Name]])</f>
        <v>jane smith</v>
      </c>
      <c r="M19" t="str">
        <f>PROPER(Table5[[#This Row],[Name]])</f>
        <v>Jane Smith</v>
      </c>
      <c r="N19" t="str">
        <f>LEFT(Table5[[#This Row],[Employee ID]],3)</f>
        <v>EMP</v>
      </c>
      <c r="O19" t="str">
        <f>RIGHT(Table5[[#This Row],[Employee ID]],4)</f>
        <v>1017</v>
      </c>
      <c r="P19" t="str">
        <f>MID(Table5[[#This Row],[Email]],1,7)</f>
        <v>user176</v>
      </c>
    </row>
    <row r="20" spans="1:16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H20" s="16" t="s">
        <v>206</v>
      </c>
      <c r="J20" t="s">
        <v>184</v>
      </c>
      <c r="K20" t="str">
        <f>UPPER(Table5[[#This Row],[Name]])</f>
        <v>ALICE BROWN</v>
      </c>
      <c r="L20" t="str">
        <f>LOWER(Table5[[#This Row],[Name]])</f>
        <v>alice brown</v>
      </c>
      <c r="M20" t="str">
        <f>PROPER(Table5[[#This Row],[Name]])</f>
        <v>Alice Brown</v>
      </c>
      <c r="N20" t="str">
        <f>LEFT(Table5[[#This Row],[Employee ID]],3)</f>
        <v>EMP</v>
      </c>
      <c r="O20" t="str">
        <f>RIGHT(Table5[[#This Row],[Employee ID]],4)</f>
        <v>1018</v>
      </c>
      <c r="P20" t="str">
        <f>MID(Table5[[#This Row],[Email]],1,7)</f>
        <v>user176</v>
      </c>
    </row>
    <row r="21" spans="1:16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s="16" t="s">
        <v>207</v>
      </c>
      <c r="I21" t="s">
        <v>181</v>
      </c>
      <c r="J21" t="s">
        <v>184</v>
      </c>
      <c r="K21" t="str">
        <f>UPPER(Table5[[#This Row],[Name]])</f>
        <v>EVE ADAMS</v>
      </c>
      <c r="L21" t="str">
        <f>LOWER(Table5[[#This Row],[Name]])</f>
        <v>eve adams</v>
      </c>
      <c r="M21" t="str">
        <f>PROPER(Table5[[#This Row],[Name]])</f>
        <v>Eve Adams</v>
      </c>
      <c r="N21" t="str">
        <f>LEFT(Table5[[#This Row],[Employee ID]],3)</f>
        <v>EMP</v>
      </c>
      <c r="O21" t="str">
        <f>RIGHT(Table5[[#This Row],[Employee ID]],4)</f>
        <v>1019</v>
      </c>
      <c r="P21" t="str">
        <f>MID(Table5[[#This Row],[Email]],1,7)</f>
        <v>user176</v>
      </c>
    </row>
    <row r="22" spans="1:16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s="16" t="s">
        <v>205</v>
      </c>
      <c r="I22" t="s">
        <v>179</v>
      </c>
      <c r="J22" t="s">
        <v>184</v>
      </c>
      <c r="K22" t="str">
        <f>UPPER(Table5[[#This Row],[Name]])</f>
        <v>JANE SMITH</v>
      </c>
      <c r="L22" t="str">
        <f>LOWER(Table5[[#This Row],[Name]])</f>
        <v>jane smith</v>
      </c>
      <c r="M22" t="str">
        <f>PROPER(Table5[[#This Row],[Name]])</f>
        <v>Jane Smith</v>
      </c>
      <c r="N22" t="str">
        <f>LEFT(Table5[[#This Row],[Employee ID]],3)</f>
        <v>EMP</v>
      </c>
      <c r="O22" t="str">
        <f>RIGHT(Table5[[#This Row],[Employee ID]],4)</f>
        <v>1020</v>
      </c>
      <c r="P22" t="str">
        <f>MID(Table5[[#This Row],[Email]],1,7)</f>
        <v>user176</v>
      </c>
    </row>
    <row r="23" spans="1:16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H23" s="16" t="s">
        <v>208</v>
      </c>
      <c r="J23" t="s">
        <v>184</v>
      </c>
      <c r="K23" t="str">
        <f>UPPER(Table5[[#This Row],[Name]])</f>
        <v>JANE SMITH</v>
      </c>
      <c r="L23" t="str">
        <f>LOWER(Table5[[#This Row],[Name]])</f>
        <v>jane smith</v>
      </c>
      <c r="M23" t="str">
        <f>PROPER(Table5[[#This Row],[Name]])</f>
        <v>Jane Smith</v>
      </c>
      <c r="N23" t="str">
        <f>LEFT(Table5[[#This Row],[Employee ID]],3)</f>
        <v>EMP</v>
      </c>
      <c r="O23" t="str">
        <f>RIGHT(Table5[[#This Row],[Employee ID]],4)</f>
        <v>1021</v>
      </c>
      <c r="P23" t="str">
        <f>MID(Table5[[#This Row],[Email]],1,7)</f>
        <v>user176</v>
      </c>
    </row>
    <row r="24" spans="1:16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H24" s="16" t="s">
        <v>207</v>
      </c>
      <c r="J24" t="s">
        <v>184</v>
      </c>
      <c r="K24" t="str">
        <f>UPPER(Table5[[#This Row],[Name]])</f>
        <v>EVE ADAMS</v>
      </c>
      <c r="L24" t="str">
        <f>LOWER(Table5[[#This Row],[Name]])</f>
        <v>eve adams</v>
      </c>
      <c r="M24" t="str">
        <f>PROPER(Table5[[#This Row],[Name]])</f>
        <v>Eve Adams</v>
      </c>
      <c r="N24" t="str">
        <f>LEFT(Table5[[#This Row],[Employee ID]],3)</f>
        <v>EMP</v>
      </c>
      <c r="O24" t="str">
        <f>RIGHT(Table5[[#This Row],[Employee ID]],4)</f>
        <v>1022</v>
      </c>
      <c r="P24" t="str">
        <f>MID(Table5[[#This Row],[Email]],1,7)</f>
        <v>user176</v>
      </c>
    </row>
    <row r="25" spans="1:16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s="16" t="s">
        <v>208</v>
      </c>
      <c r="I25" t="s">
        <v>180</v>
      </c>
      <c r="J25" t="s">
        <v>184</v>
      </c>
      <c r="K25" t="str">
        <f>UPPER(Table5[[#This Row],[Name]])</f>
        <v>ALICE BROWN</v>
      </c>
      <c r="L25" t="str">
        <f>LOWER(Table5[[#This Row],[Name]])</f>
        <v>alice brown</v>
      </c>
      <c r="M25" t="str">
        <f>PROPER(Table5[[#This Row],[Name]])</f>
        <v>Alice Brown</v>
      </c>
      <c r="N25" t="str">
        <f>LEFT(Table5[[#This Row],[Employee ID]],3)</f>
        <v>EMP</v>
      </c>
      <c r="O25" t="str">
        <f>RIGHT(Table5[[#This Row],[Employee ID]],4)</f>
        <v>1023</v>
      </c>
      <c r="P25" t="str">
        <f>MID(Table5[[#This Row],[Email]],1,7)</f>
        <v>user176</v>
      </c>
    </row>
    <row r="26" spans="1:16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s="16" t="s">
        <v>205</v>
      </c>
      <c r="I26" t="s">
        <v>179</v>
      </c>
      <c r="J26" t="s">
        <v>184</v>
      </c>
      <c r="K26" t="str">
        <f>UPPER(Table5[[#This Row],[Name]])</f>
        <v>SAM WILSON</v>
      </c>
      <c r="L26" t="str">
        <f>LOWER(Table5[[#This Row],[Name]])</f>
        <v>sam wilson</v>
      </c>
      <c r="M26" t="str">
        <f>PROPER(Table5[[#This Row],[Name]])</f>
        <v>Sam Wilson</v>
      </c>
      <c r="N26" t="str">
        <f>LEFT(Table5[[#This Row],[Employee ID]],3)</f>
        <v>EMP</v>
      </c>
      <c r="O26" t="str">
        <f>RIGHT(Table5[[#This Row],[Employee ID]],4)</f>
        <v>1024</v>
      </c>
      <c r="P26" t="str">
        <f>MID(Table5[[#This Row],[Email]],1,7)</f>
        <v>user176</v>
      </c>
    </row>
    <row r="27" spans="1:16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H27" s="16" t="s">
        <v>208</v>
      </c>
      <c r="J27" t="s">
        <v>184</v>
      </c>
      <c r="K27" t="str">
        <f>UPPER(Table5[[#This Row],[Name]])</f>
        <v>CHRIS LEE</v>
      </c>
      <c r="L27" t="str">
        <f>LOWER(Table5[[#This Row],[Name]])</f>
        <v>chris lee</v>
      </c>
      <c r="M27" t="str">
        <f>PROPER(Table5[[#This Row],[Name]])</f>
        <v>Chris Lee</v>
      </c>
      <c r="N27" t="str">
        <f>LEFT(Table5[[#This Row],[Employee ID]],3)</f>
        <v>EMP</v>
      </c>
      <c r="O27" t="str">
        <f>RIGHT(Table5[[#This Row],[Employee ID]],4)</f>
        <v>1025</v>
      </c>
      <c r="P27" t="str">
        <f>MID(Table5[[#This Row],[Email]],1,7)</f>
        <v>user176</v>
      </c>
    </row>
    <row r="28" spans="1:16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s="16" t="s">
        <v>205</v>
      </c>
      <c r="I28" t="s">
        <v>181</v>
      </c>
      <c r="J28" t="s">
        <v>184</v>
      </c>
      <c r="K28" t="str">
        <f>UPPER(Table5[[#This Row],[Name]])</f>
        <v>EVE ADAMS</v>
      </c>
      <c r="L28" t="str">
        <f>LOWER(Table5[[#This Row],[Name]])</f>
        <v>eve adams</v>
      </c>
      <c r="M28" t="str">
        <f>PROPER(Table5[[#This Row],[Name]])</f>
        <v>Eve Adams</v>
      </c>
      <c r="N28" t="str">
        <f>LEFT(Table5[[#This Row],[Employee ID]],3)</f>
        <v>EMP</v>
      </c>
      <c r="O28" t="str">
        <f>RIGHT(Table5[[#This Row],[Employee ID]],4)</f>
        <v>1026</v>
      </c>
      <c r="P28" t="str">
        <f>MID(Table5[[#This Row],[Email]],1,7)</f>
        <v>user176</v>
      </c>
    </row>
    <row r="29" spans="1:16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s="16" t="s">
        <v>208</v>
      </c>
      <c r="I29" t="s">
        <v>179</v>
      </c>
      <c r="J29" t="s">
        <v>184</v>
      </c>
      <c r="K29" t="str">
        <f>UPPER(Table5[[#This Row],[Name]])</f>
        <v>ALICE BROWN</v>
      </c>
      <c r="L29" t="str">
        <f>LOWER(Table5[[#This Row],[Name]])</f>
        <v>alice brown</v>
      </c>
      <c r="M29" t="str">
        <f>PROPER(Table5[[#This Row],[Name]])</f>
        <v>Alice Brown</v>
      </c>
      <c r="N29" t="str">
        <f>LEFT(Table5[[#This Row],[Employee ID]],3)</f>
        <v>EMP</v>
      </c>
      <c r="O29" t="str">
        <f>RIGHT(Table5[[#This Row],[Employee ID]],4)</f>
        <v>1027</v>
      </c>
      <c r="P29" t="str">
        <f>MID(Table5[[#This Row],[Email]],1,7)</f>
        <v>user176</v>
      </c>
    </row>
    <row r="30" spans="1:16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s="16" t="s">
        <v>205</v>
      </c>
      <c r="I30" t="s">
        <v>181</v>
      </c>
      <c r="J30" t="s">
        <v>184</v>
      </c>
      <c r="K30" t="str">
        <f>UPPER(Table5[[#This Row],[Name]])</f>
        <v>JOHN DOE</v>
      </c>
      <c r="L30" t="str">
        <f>LOWER(Table5[[#This Row],[Name]])</f>
        <v>john doe</v>
      </c>
      <c r="M30" t="str">
        <f>PROPER(Table5[[#This Row],[Name]])</f>
        <v>John Doe</v>
      </c>
      <c r="N30" t="str">
        <f>LEFT(Table5[[#This Row],[Employee ID]],3)</f>
        <v>EMP</v>
      </c>
      <c r="O30" t="str">
        <f>RIGHT(Table5[[#This Row],[Employee ID]],4)</f>
        <v>1028</v>
      </c>
      <c r="P30" t="str">
        <f>MID(Table5[[#This Row],[Email]],1,7)</f>
        <v>user176</v>
      </c>
    </row>
    <row r="31" spans="1:16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H31" s="16" t="s">
        <v>207</v>
      </c>
      <c r="J31" t="s">
        <v>184</v>
      </c>
      <c r="K31" t="str">
        <f>UPPER(Table5[[#This Row],[Name]])</f>
        <v>BOB JOHNSON</v>
      </c>
      <c r="L31" t="str">
        <f>LOWER(Table5[[#This Row],[Name]])</f>
        <v>bob johnson</v>
      </c>
      <c r="M31" t="str">
        <f>PROPER(Table5[[#This Row],[Name]])</f>
        <v>Bob Johnson</v>
      </c>
      <c r="N31" t="str">
        <f>LEFT(Table5[[#This Row],[Employee ID]],3)</f>
        <v>EMP</v>
      </c>
      <c r="O31" t="str">
        <f>RIGHT(Table5[[#This Row],[Employee ID]],4)</f>
        <v>1029</v>
      </c>
      <c r="P31" t="str">
        <f>MID(Table5[[#This Row],[Email]],1,7)</f>
        <v>user176</v>
      </c>
    </row>
    <row r="32" spans="1:16" x14ac:dyDescent="0.3">
      <c r="A32" t="s">
        <v>39</v>
      </c>
      <c r="C32" t="s">
        <v>170</v>
      </c>
      <c r="E32" s="14">
        <v>92259</v>
      </c>
      <c r="G32" s="17">
        <v>1</v>
      </c>
      <c r="H32" s="16" t="s">
        <v>205</v>
      </c>
      <c r="I32" t="s">
        <v>178</v>
      </c>
      <c r="J32" t="s">
        <v>184</v>
      </c>
      <c r="K32" t="str">
        <f>UPPER(Table5[[#This Row],[Name]])</f>
        <v/>
      </c>
      <c r="L32" t="str">
        <f>LOWER(Table5[[#This Row],[Name]])</f>
        <v/>
      </c>
      <c r="M32" t="str">
        <f>PROPER(Table5[[#This Row],[Name]])</f>
        <v/>
      </c>
      <c r="N32" t="str">
        <f>LEFT(Table5[[#This Row],[Employee ID]],3)</f>
        <v>EMP</v>
      </c>
      <c r="O32" t="str">
        <f>RIGHT(Table5[[#This Row],[Employee ID]],4)</f>
        <v>1030</v>
      </c>
      <c r="P32" t="str">
        <f>MID(Table5[[#This Row],[Email]],1,7)</f>
        <v>user176</v>
      </c>
    </row>
    <row r="33" spans="1:16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s="16" t="s">
        <v>208</v>
      </c>
      <c r="I33" t="s">
        <v>180</v>
      </c>
      <c r="J33" t="s">
        <v>184</v>
      </c>
      <c r="K33" t="str">
        <f>UPPER(Table5[[#This Row],[Name]])</f>
        <v>EVE ADAMS</v>
      </c>
      <c r="L33" t="str">
        <f>LOWER(Table5[[#This Row],[Name]])</f>
        <v>eve adams</v>
      </c>
      <c r="M33" t="str">
        <f>PROPER(Table5[[#This Row],[Name]])</f>
        <v>Eve Adams</v>
      </c>
      <c r="N33" t="str">
        <f>LEFT(Table5[[#This Row],[Employee ID]],3)</f>
        <v>EMP</v>
      </c>
      <c r="O33" t="str">
        <f>RIGHT(Table5[[#This Row],[Employee ID]],4)</f>
        <v>1031</v>
      </c>
      <c r="P33" t="str">
        <f>MID(Table5[[#This Row],[Email]],1,7)</f>
        <v>user176</v>
      </c>
    </row>
    <row r="34" spans="1:16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s="16" t="s">
        <v>208</v>
      </c>
      <c r="I34" t="s">
        <v>179</v>
      </c>
      <c r="J34" t="s">
        <v>184</v>
      </c>
      <c r="K34" t="str">
        <f>UPPER(Table5[[#This Row],[Name]])</f>
        <v>SAM WILSON</v>
      </c>
      <c r="L34" t="str">
        <f>LOWER(Table5[[#This Row],[Name]])</f>
        <v>sam wilson</v>
      </c>
      <c r="M34" t="str">
        <f>PROPER(Table5[[#This Row],[Name]])</f>
        <v>Sam Wilson</v>
      </c>
      <c r="N34" t="str">
        <f>LEFT(Table5[[#This Row],[Employee ID]],3)</f>
        <v>EMP</v>
      </c>
      <c r="O34" t="str">
        <f>RIGHT(Table5[[#This Row],[Employee ID]],4)</f>
        <v>1032</v>
      </c>
      <c r="P34" t="str">
        <f>MID(Table5[[#This Row],[Email]],1,7)</f>
        <v>user176</v>
      </c>
    </row>
    <row r="35" spans="1:16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s="16" t="s">
        <v>206</v>
      </c>
      <c r="I35" t="s">
        <v>180</v>
      </c>
      <c r="J35" t="s">
        <v>184</v>
      </c>
      <c r="K35" t="str">
        <f>UPPER(Table5[[#This Row],[Name]])</f>
        <v>CHRIS LEE</v>
      </c>
      <c r="L35" t="str">
        <f>LOWER(Table5[[#This Row],[Name]])</f>
        <v>chris lee</v>
      </c>
      <c r="M35" t="str">
        <f>PROPER(Table5[[#This Row],[Name]])</f>
        <v>Chris Lee</v>
      </c>
      <c r="N35" t="str">
        <f>LEFT(Table5[[#This Row],[Employee ID]],3)</f>
        <v>EMP</v>
      </c>
      <c r="O35" t="str">
        <f>RIGHT(Table5[[#This Row],[Employee ID]],4)</f>
        <v>1033</v>
      </c>
      <c r="P35" t="str">
        <f>MID(Table5[[#This Row],[Email]],1,7)</f>
        <v>user176</v>
      </c>
    </row>
    <row r="36" spans="1:16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H36" s="16" t="s">
        <v>208</v>
      </c>
      <c r="J36" t="s">
        <v>184</v>
      </c>
      <c r="K36" t="str">
        <f>UPPER(Table5[[#This Row],[Name]])</f>
        <v>JOHN DOE</v>
      </c>
      <c r="L36" t="str">
        <f>LOWER(Table5[[#This Row],[Name]])</f>
        <v>john doe</v>
      </c>
      <c r="M36" t="str">
        <f>PROPER(Table5[[#This Row],[Name]])</f>
        <v>John Doe</v>
      </c>
      <c r="N36" t="str">
        <f>LEFT(Table5[[#This Row],[Employee ID]],3)</f>
        <v>EMP</v>
      </c>
      <c r="O36" t="str">
        <f>RIGHT(Table5[[#This Row],[Employee ID]],4)</f>
        <v>1034</v>
      </c>
      <c r="P36" t="str">
        <f>MID(Table5[[#This Row],[Email]],1,7)</f>
        <v>user176</v>
      </c>
    </row>
    <row r="37" spans="1:16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s="16" t="s">
        <v>208</v>
      </c>
      <c r="I37" t="s">
        <v>180</v>
      </c>
      <c r="J37" t="s">
        <v>184</v>
      </c>
      <c r="K37" t="str">
        <f>UPPER(Table5[[#This Row],[Name]])</f>
        <v>ALICE BROWN</v>
      </c>
      <c r="L37" t="str">
        <f>LOWER(Table5[[#This Row],[Name]])</f>
        <v>alice brown</v>
      </c>
      <c r="M37" t="str">
        <f>PROPER(Table5[[#This Row],[Name]])</f>
        <v>Alice Brown</v>
      </c>
      <c r="N37" t="str">
        <f>LEFT(Table5[[#This Row],[Employee ID]],3)</f>
        <v>EMP</v>
      </c>
      <c r="O37" t="str">
        <f>RIGHT(Table5[[#This Row],[Employee ID]],4)</f>
        <v>1035</v>
      </c>
      <c r="P37" t="str">
        <f>MID(Table5[[#This Row],[Email]],1,7)</f>
        <v>user176</v>
      </c>
    </row>
    <row r="38" spans="1:16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s="16" t="s">
        <v>206</v>
      </c>
      <c r="I38" t="s">
        <v>181</v>
      </c>
      <c r="J38" t="s">
        <v>184</v>
      </c>
      <c r="K38" t="str">
        <f>UPPER(Table5[[#This Row],[Name]])</f>
        <v>ALICE BROWN</v>
      </c>
      <c r="L38" t="str">
        <f>LOWER(Table5[[#This Row],[Name]])</f>
        <v>alice brown</v>
      </c>
      <c r="M38" t="str">
        <f>PROPER(Table5[[#This Row],[Name]])</f>
        <v>Alice Brown</v>
      </c>
      <c r="N38" t="str">
        <f>LEFT(Table5[[#This Row],[Employee ID]],3)</f>
        <v>EMP</v>
      </c>
      <c r="O38" t="str">
        <f>RIGHT(Table5[[#This Row],[Employee ID]],4)</f>
        <v>1036</v>
      </c>
      <c r="P38" t="str">
        <f>MID(Table5[[#This Row],[Email]],1,7)</f>
        <v>user176</v>
      </c>
    </row>
    <row r="39" spans="1:16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s="16" t="s">
        <v>206</v>
      </c>
      <c r="I39" t="s">
        <v>179</v>
      </c>
      <c r="J39" t="s">
        <v>184</v>
      </c>
      <c r="K39" t="str">
        <f>UPPER(Table5[[#This Row],[Name]])</f>
        <v>ALICE BROWN</v>
      </c>
      <c r="L39" t="str">
        <f>LOWER(Table5[[#This Row],[Name]])</f>
        <v>alice brown</v>
      </c>
      <c r="M39" t="str">
        <f>PROPER(Table5[[#This Row],[Name]])</f>
        <v>Alice Brown</v>
      </c>
      <c r="N39" t="str">
        <f>LEFT(Table5[[#This Row],[Employee ID]],3)</f>
        <v>EMP</v>
      </c>
      <c r="O39" t="str">
        <f>RIGHT(Table5[[#This Row],[Employee ID]],4)</f>
        <v>1037</v>
      </c>
      <c r="P39" t="str">
        <f>MID(Table5[[#This Row],[Email]],1,7)</f>
        <v>user176</v>
      </c>
    </row>
    <row r="40" spans="1:16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H40" s="16" t="s">
        <v>207</v>
      </c>
      <c r="J40" t="s">
        <v>184</v>
      </c>
      <c r="K40" t="str">
        <f>UPPER(Table5[[#This Row],[Name]])</f>
        <v>JOHN DOE</v>
      </c>
      <c r="L40" t="str">
        <f>LOWER(Table5[[#This Row],[Name]])</f>
        <v>john doe</v>
      </c>
      <c r="M40" t="str">
        <f>PROPER(Table5[[#This Row],[Name]])</f>
        <v>John Doe</v>
      </c>
      <c r="N40" t="str">
        <f>LEFT(Table5[[#This Row],[Employee ID]],3)</f>
        <v>EMP</v>
      </c>
      <c r="O40" t="str">
        <f>RIGHT(Table5[[#This Row],[Employee ID]],4)</f>
        <v>1038</v>
      </c>
      <c r="P40" t="str">
        <f>MID(Table5[[#This Row],[Email]],1,7)</f>
        <v>user176</v>
      </c>
    </row>
    <row r="41" spans="1:16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H41" s="16" t="s">
        <v>208</v>
      </c>
      <c r="J41" t="s">
        <v>184</v>
      </c>
      <c r="K41" t="str">
        <f>UPPER(Table5[[#This Row],[Name]])</f>
        <v>CHRIS LEE</v>
      </c>
      <c r="L41" t="str">
        <f>LOWER(Table5[[#This Row],[Name]])</f>
        <v>chris lee</v>
      </c>
      <c r="M41" t="str">
        <f>PROPER(Table5[[#This Row],[Name]])</f>
        <v>Chris Lee</v>
      </c>
      <c r="N41" t="str">
        <f>LEFT(Table5[[#This Row],[Employee ID]],3)</f>
        <v>EMP</v>
      </c>
      <c r="O41" t="str">
        <f>RIGHT(Table5[[#This Row],[Employee ID]],4)</f>
        <v>1039</v>
      </c>
      <c r="P41" t="str">
        <f>MID(Table5[[#This Row],[Email]],1,7)</f>
        <v>user176</v>
      </c>
    </row>
    <row r="42" spans="1:16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s="16" t="s">
        <v>208</v>
      </c>
      <c r="I42" t="s">
        <v>181</v>
      </c>
      <c r="J42" t="s">
        <v>184</v>
      </c>
      <c r="K42" t="str">
        <f>UPPER(Table5[[#This Row],[Name]])</f>
        <v>BOB JOHNSON</v>
      </c>
      <c r="L42" t="str">
        <f>LOWER(Table5[[#This Row],[Name]])</f>
        <v>bob johnson</v>
      </c>
      <c r="M42" t="str">
        <f>PROPER(Table5[[#This Row],[Name]])</f>
        <v>Bob Johnson</v>
      </c>
      <c r="N42" t="str">
        <f>LEFT(Table5[[#This Row],[Employee ID]],3)</f>
        <v>EMP</v>
      </c>
      <c r="O42" t="str">
        <f>RIGHT(Table5[[#This Row],[Employee ID]],4)</f>
        <v>1040</v>
      </c>
      <c r="P42" t="str">
        <f>MID(Table5[[#This Row],[Email]],1,7)</f>
        <v>user176</v>
      </c>
    </row>
    <row r="43" spans="1:16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H43" s="16" t="s">
        <v>206</v>
      </c>
      <c r="J43" t="s">
        <v>184</v>
      </c>
      <c r="K43" t="str">
        <f>UPPER(Table5[[#This Row],[Name]])</f>
        <v>ALICE BROWN</v>
      </c>
      <c r="L43" t="str">
        <f>LOWER(Table5[[#This Row],[Name]])</f>
        <v>alice brown</v>
      </c>
      <c r="M43" t="str">
        <f>PROPER(Table5[[#This Row],[Name]])</f>
        <v>Alice Brown</v>
      </c>
      <c r="N43" t="str">
        <f>LEFT(Table5[[#This Row],[Employee ID]],3)</f>
        <v>EMP</v>
      </c>
      <c r="O43" t="str">
        <f>RIGHT(Table5[[#This Row],[Employee ID]],4)</f>
        <v>1041</v>
      </c>
      <c r="P43" t="str">
        <f>MID(Table5[[#This Row],[Email]],1,7)</f>
        <v>user176</v>
      </c>
    </row>
    <row r="44" spans="1:16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s="16" t="s">
        <v>205</v>
      </c>
      <c r="I44" t="s">
        <v>181</v>
      </c>
      <c r="J44" t="s">
        <v>184</v>
      </c>
      <c r="K44" t="str">
        <f>UPPER(Table5[[#This Row],[Name]])</f>
        <v>BOB JOHNSON</v>
      </c>
      <c r="L44" t="str">
        <f>LOWER(Table5[[#This Row],[Name]])</f>
        <v>bob johnson</v>
      </c>
      <c r="M44" t="str">
        <f>PROPER(Table5[[#This Row],[Name]])</f>
        <v>Bob Johnson</v>
      </c>
      <c r="N44" t="str">
        <f>LEFT(Table5[[#This Row],[Employee ID]],3)</f>
        <v>EMP</v>
      </c>
      <c r="O44" t="str">
        <f>RIGHT(Table5[[#This Row],[Employee ID]],4)</f>
        <v>1042</v>
      </c>
      <c r="P44" t="str">
        <f>MID(Table5[[#This Row],[Email]],1,7)</f>
        <v>user176</v>
      </c>
    </row>
    <row r="45" spans="1:16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s="16" t="s">
        <v>206</v>
      </c>
      <c r="I45" t="s">
        <v>181</v>
      </c>
      <c r="J45" t="s">
        <v>184</v>
      </c>
      <c r="K45" t="str">
        <f>UPPER(Table5[[#This Row],[Name]])</f>
        <v>ALICE BROWN</v>
      </c>
      <c r="L45" t="str">
        <f>LOWER(Table5[[#This Row],[Name]])</f>
        <v>alice brown</v>
      </c>
      <c r="M45" t="str">
        <f>PROPER(Table5[[#This Row],[Name]])</f>
        <v>Alice Brown</v>
      </c>
      <c r="N45" t="str">
        <f>LEFT(Table5[[#This Row],[Employee ID]],3)</f>
        <v>EMP</v>
      </c>
      <c r="O45" t="str">
        <f>RIGHT(Table5[[#This Row],[Employee ID]],4)</f>
        <v>1043</v>
      </c>
      <c r="P45" t="str">
        <f>MID(Table5[[#This Row],[Email]],1,7)</f>
        <v>user176</v>
      </c>
    </row>
    <row r="46" spans="1:16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H46" s="16" t="s">
        <v>205</v>
      </c>
      <c r="J46" t="s">
        <v>184</v>
      </c>
      <c r="K46" t="str">
        <f>UPPER(Table5[[#This Row],[Name]])</f>
        <v>CHRIS LEE</v>
      </c>
      <c r="L46" t="str">
        <f>LOWER(Table5[[#This Row],[Name]])</f>
        <v>chris lee</v>
      </c>
      <c r="M46" t="str">
        <f>PROPER(Table5[[#This Row],[Name]])</f>
        <v>Chris Lee</v>
      </c>
      <c r="N46" t="str">
        <f>LEFT(Table5[[#This Row],[Employee ID]],3)</f>
        <v>EMP</v>
      </c>
      <c r="O46" t="str">
        <f>RIGHT(Table5[[#This Row],[Employee ID]],4)</f>
        <v>1044</v>
      </c>
      <c r="P46" t="str">
        <f>MID(Table5[[#This Row],[Email]],1,7)</f>
        <v>user176</v>
      </c>
    </row>
    <row r="47" spans="1:16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s="16" t="s">
        <v>208</v>
      </c>
      <c r="I47" t="s">
        <v>179</v>
      </c>
      <c r="J47" t="s">
        <v>184</v>
      </c>
      <c r="K47" t="str">
        <f>UPPER(Table5[[#This Row],[Name]])</f>
        <v/>
      </c>
      <c r="L47" t="str">
        <f>LOWER(Table5[[#This Row],[Name]])</f>
        <v/>
      </c>
      <c r="M47" t="str">
        <f>PROPER(Table5[[#This Row],[Name]])</f>
        <v/>
      </c>
      <c r="N47" t="str">
        <f>LEFT(Table5[[#This Row],[Employee ID]],3)</f>
        <v>EMP</v>
      </c>
      <c r="O47" t="str">
        <f>RIGHT(Table5[[#This Row],[Employee ID]],4)</f>
        <v>1045</v>
      </c>
      <c r="P47" t="str">
        <f>MID(Table5[[#This Row],[Email]],1,7)</f>
        <v>user176</v>
      </c>
    </row>
    <row r="48" spans="1:16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s="16" t="s">
        <v>208</v>
      </c>
      <c r="I48" t="s">
        <v>179</v>
      </c>
      <c r="J48" t="s">
        <v>184</v>
      </c>
      <c r="K48" t="str">
        <f>UPPER(Table5[[#This Row],[Name]])</f>
        <v>CHRIS LEE</v>
      </c>
      <c r="L48" t="str">
        <f>LOWER(Table5[[#This Row],[Name]])</f>
        <v>chris lee</v>
      </c>
      <c r="M48" t="str">
        <f>PROPER(Table5[[#This Row],[Name]])</f>
        <v>Chris Lee</v>
      </c>
      <c r="N48" t="str">
        <f>LEFT(Table5[[#This Row],[Employee ID]],3)</f>
        <v>EMP</v>
      </c>
      <c r="O48" t="str">
        <f>RIGHT(Table5[[#This Row],[Employee ID]],4)</f>
        <v>1046</v>
      </c>
      <c r="P48" t="str">
        <f>MID(Table5[[#This Row],[Email]],1,7)</f>
        <v>user176</v>
      </c>
    </row>
    <row r="49" spans="1:16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H49" s="16" t="s">
        <v>208</v>
      </c>
      <c r="J49" t="s">
        <v>184</v>
      </c>
      <c r="K49" t="str">
        <f>UPPER(Table5[[#This Row],[Name]])</f>
        <v>CHRIS LEE</v>
      </c>
      <c r="L49" t="str">
        <f>LOWER(Table5[[#This Row],[Name]])</f>
        <v>chris lee</v>
      </c>
      <c r="M49" t="str">
        <f>PROPER(Table5[[#This Row],[Name]])</f>
        <v>Chris Lee</v>
      </c>
      <c r="N49" t="str">
        <f>LEFT(Table5[[#This Row],[Employee ID]],3)</f>
        <v>EMP</v>
      </c>
      <c r="O49" t="str">
        <f>RIGHT(Table5[[#This Row],[Employee ID]],4)</f>
        <v>1047</v>
      </c>
      <c r="P49" t="str">
        <f>MID(Table5[[#This Row],[Email]],1,7)</f>
        <v>user176</v>
      </c>
    </row>
    <row r="50" spans="1:16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s="16" t="s">
        <v>205</v>
      </c>
      <c r="I50" t="s">
        <v>179</v>
      </c>
      <c r="J50" t="s">
        <v>184</v>
      </c>
      <c r="K50" t="str">
        <f>UPPER(Table5[[#This Row],[Name]])</f>
        <v>JOHN DOE</v>
      </c>
      <c r="L50" t="str">
        <f>LOWER(Table5[[#This Row],[Name]])</f>
        <v>john doe</v>
      </c>
      <c r="M50" t="str">
        <f>PROPER(Table5[[#This Row],[Name]])</f>
        <v>John Doe</v>
      </c>
      <c r="N50" t="str">
        <f>LEFT(Table5[[#This Row],[Employee ID]],3)</f>
        <v>EMP</v>
      </c>
      <c r="O50" t="str">
        <f>RIGHT(Table5[[#This Row],[Employee ID]],4)</f>
        <v>1048</v>
      </c>
      <c r="P50" t="str">
        <f>MID(Table5[[#This Row],[Email]],1,7)</f>
        <v>user176</v>
      </c>
    </row>
    <row r="51" spans="1:16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s="16" t="s">
        <v>207</v>
      </c>
      <c r="I51" t="s">
        <v>181</v>
      </c>
      <c r="J51" t="s">
        <v>184</v>
      </c>
      <c r="K51" t="str">
        <f>UPPER(Table5[[#This Row],[Name]])</f>
        <v>EVE ADAMS</v>
      </c>
      <c r="L51" t="str">
        <f>LOWER(Table5[[#This Row],[Name]])</f>
        <v>eve adams</v>
      </c>
      <c r="M51" t="str">
        <f>PROPER(Table5[[#This Row],[Name]])</f>
        <v>Eve Adams</v>
      </c>
      <c r="N51" t="str">
        <f>LEFT(Table5[[#This Row],[Employee ID]],3)</f>
        <v>EMP</v>
      </c>
      <c r="O51" t="str">
        <f>RIGHT(Table5[[#This Row],[Employee ID]],4)</f>
        <v>1049</v>
      </c>
      <c r="P51" t="str">
        <f>MID(Table5[[#This Row],[Email]],1,7)</f>
        <v>user176</v>
      </c>
    </row>
    <row r="52" spans="1:16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s="16" t="s">
        <v>205</v>
      </c>
      <c r="I52" t="s">
        <v>181</v>
      </c>
      <c r="J52" t="s">
        <v>184</v>
      </c>
      <c r="K52" t="str">
        <f>UPPER(Table5[[#This Row],[Name]])</f>
        <v>CHRIS LEE</v>
      </c>
      <c r="L52" t="str">
        <f>LOWER(Table5[[#This Row],[Name]])</f>
        <v>chris lee</v>
      </c>
      <c r="M52" t="str">
        <f>PROPER(Table5[[#This Row],[Name]])</f>
        <v>Chris Lee</v>
      </c>
      <c r="N52" t="str">
        <f>LEFT(Table5[[#This Row],[Employee ID]],3)</f>
        <v>EMP</v>
      </c>
      <c r="O52" t="str">
        <f>RIGHT(Table5[[#This Row],[Employee ID]],4)</f>
        <v>1050</v>
      </c>
      <c r="P52" t="str">
        <f>MID(Table5[[#This Row],[Email]],1,7)</f>
        <v>user176</v>
      </c>
    </row>
    <row r="53" spans="1:16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H53" s="16" t="s">
        <v>207</v>
      </c>
      <c r="J53" t="s">
        <v>184</v>
      </c>
      <c r="K53" t="str">
        <f>UPPER(Table5[[#This Row],[Name]])</f>
        <v>SAM WILSON</v>
      </c>
      <c r="L53" t="str">
        <f>LOWER(Table5[[#This Row],[Name]])</f>
        <v>sam wilson</v>
      </c>
      <c r="M53" t="str">
        <f>PROPER(Table5[[#This Row],[Name]])</f>
        <v>Sam Wilson</v>
      </c>
      <c r="N53" t="str">
        <f>LEFT(Table5[[#This Row],[Employee ID]],3)</f>
        <v>EMP</v>
      </c>
      <c r="O53" t="str">
        <f>RIGHT(Table5[[#This Row],[Employee ID]],4)</f>
        <v>1051</v>
      </c>
      <c r="P53" t="str">
        <f>MID(Table5[[#This Row],[Email]],1,7)</f>
        <v>user176</v>
      </c>
    </row>
    <row r="54" spans="1:16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H54" s="16" t="s">
        <v>205</v>
      </c>
      <c r="J54" t="s">
        <v>184</v>
      </c>
      <c r="K54" t="str">
        <f>UPPER(Table5[[#This Row],[Name]])</f>
        <v>EVE ADAMS</v>
      </c>
      <c r="L54" t="str">
        <f>LOWER(Table5[[#This Row],[Name]])</f>
        <v>eve adams</v>
      </c>
      <c r="M54" t="str">
        <f>PROPER(Table5[[#This Row],[Name]])</f>
        <v>Eve Adams</v>
      </c>
      <c r="N54" t="str">
        <f>LEFT(Table5[[#This Row],[Employee ID]],3)</f>
        <v>EMP</v>
      </c>
      <c r="O54" t="str">
        <f>RIGHT(Table5[[#This Row],[Employee ID]],4)</f>
        <v>1052</v>
      </c>
      <c r="P54" t="str">
        <f>MID(Table5[[#This Row],[Email]],1,7)</f>
        <v>user176</v>
      </c>
    </row>
    <row r="55" spans="1:16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s="16" t="s">
        <v>208</v>
      </c>
      <c r="I55" t="s">
        <v>181</v>
      </c>
      <c r="J55" t="s">
        <v>184</v>
      </c>
      <c r="K55" t="str">
        <f>UPPER(Table5[[#This Row],[Name]])</f>
        <v>EVE ADAMS</v>
      </c>
      <c r="L55" t="str">
        <f>LOWER(Table5[[#This Row],[Name]])</f>
        <v>eve adams</v>
      </c>
      <c r="M55" t="str">
        <f>PROPER(Table5[[#This Row],[Name]])</f>
        <v>Eve Adams</v>
      </c>
      <c r="N55" t="str">
        <f>LEFT(Table5[[#This Row],[Employee ID]],3)</f>
        <v>EMP</v>
      </c>
      <c r="O55" t="str">
        <f>RIGHT(Table5[[#This Row],[Employee ID]],4)</f>
        <v>1053</v>
      </c>
      <c r="P55" t="str">
        <f>MID(Table5[[#This Row],[Email]],1,7)</f>
        <v>user176</v>
      </c>
    </row>
    <row r="56" spans="1:16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s="16" t="s">
        <v>207</v>
      </c>
      <c r="I56" t="s">
        <v>179</v>
      </c>
      <c r="J56" t="s">
        <v>184</v>
      </c>
      <c r="K56" t="str">
        <f>UPPER(Table5[[#This Row],[Name]])</f>
        <v>BOB JOHNSON</v>
      </c>
      <c r="L56" t="str">
        <f>LOWER(Table5[[#This Row],[Name]])</f>
        <v>bob johnson</v>
      </c>
      <c r="M56" t="str">
        <f>PROPER(Table5[[#This Row],[Name]])</f>
        <v>Bob Johnson</v>
      </c>
      <c r="N56" t="str">
        <f>LEFT(Table5[[#This Row],[Employee ID]],3)</f>
        <v>EMP</v>
      </c>
      <c r="O56" t="str">
        <f>RIGHT(Table5[[#This Row],[Employee ID]],4)</f>
        <v>1054</v>
      </c>
      <c r="P56" t="str">
        <f>MID(Table5[[#This Row],[Email]],1,7)</f>
        <v>user176</v>
      </c>
    </row>
    <row r="57" spans="1:16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s="16" t="s">
        <v>207</v>
      </c>
      <c r="I57" t="s">
        <v>181</v>
      </c>
      <c r="J57" t="s">
        <v>184</v>
      </c>
      <c r="K57" t="str">
        <f>UPPER(Table5[[#This Row],[Name]])</f>
        <v>CHRIS LEE</v>
      </c>
      <c r="L57" t="str">
        <f>LOWER(Table5[[#This Row],[Name]])</f>
        <v>chris lee</v>
      </c>
      <c r="M57" t="str">
        <f>PROPER(Table5[[#This Row],[Name]])</f>
        <v>Chris Lee</v>
      </c>
      <c r="N57" t="str">
        <f>LEFT(Table5[[#This Row],[Employee ID]],3)</f>
        <v>EMP</v>
      </c>
      <c r="O57" t="str">
        <f>RIGHT(Table5[[#This Row],[Employee ID]],4)</f>
        <v>1055</v>
      </c>
      <c r="P57" t="str">
        <f>MID(Table5[[#This Row],[Email]],1,7)</f>
        <v>user176</v>
      </c>
    </row>
    <row r="58" spans="1:16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s="16" t="s">
        <v>205</v>
      </c>
      <c r="I58" t="s">
        <v>180</v>
      </c>
      <c r="J58" t="s">
        <v>184</v>
      </c>
      <c r="K58" t="str">
        <f>UPPER(Table5[[#This Row],[Name]])</f>
        <v>JOHN DOE</v>
      </c>
      <c r="L58" t="str">
        <f>LOWER(Table5[[#This Row],[Name]])</f>
        <v>john doe</v>
      </c>
      <c r="M58" t="str">
        <f>PROPER(Table5[[#This Row],[Name]])</f>
        <v>John Doe</v>
      </c>
      <c r="N58" t="str">
        <f>LEFT(Table5[[#This Row],[Employee ID]],3)</f>
        <v>EMP</v>
      </c>
      <c r="O58" t="str">
        <f>RIGHT(Table5[[#This Row],[Employee ID]],4)</f>
        <v>1056</v>
      </c>
      <c r="P58" t="str">
        <f>MID(Table5[[#This Row],[Email]],1,7)</f>
        <v>user176</v>
      </c>
    </row>
    <row r="59" spans="1:16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H59" s="16" t="s">
        <v>208</v>
      </c>
      <c r="J59" t="s">
        <v>184</v>
      </c>
      <c r="K59" t="str">
        <f>UPPER(Table5[[#This Row],[Name]])</f>
        <v>EVE ADAMS</v>
      </c>
      <c r="L59" t="str">
        <f>LOWER(Table5[[#This Row],[Name]])</f>
        <v>eve adams</v>
      </c>
      <c r="M59" t="str">
        <f>PROPER(Table5[[#This Row],[Name]])</f>
        <v>Eve Adams</v>
      </c>
      <c r="N59" t="str">
        <f>LEFT(Table5[[#This Row],[Employee ID]],3)</f>
        <v>EMP</v>
      </c>
      <c r="O59" t="str">
        <f>RIGHT(Table5[[#This Row],[Employee ID]],4)</f>
        <v>1057</v>
      </c>
      <c r="P59" t="str">
        <f>MID(Table5[[#This Row],[Email]],1,7)</f>
        <v>user176</v>
      </c>
    </row>
    <row r="60" spans="1:16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s="16" t="s">
        <v>207</v>
      </c>
      <c r="I60" t="s">
        <v>180</v>
      </c>
      <c r="J60" t="s">
        <v>184</v>
      </c>
      <c r="K60" t="str">
        <f>UPPER(Table5[[#This Row],[Name]])</f>
        <v>SAM WILSON</v>
      </c>
      <c r="L60" t="str">
        <f>LOWER(Table5[[#This Row],[Name]])</f>
        <v>sam wilson</v>
      </c>
      <c r="M60" t="str">
        <f>PROPER(Table5[[#This Row],[Name]])</f>
        <v>Sam Wilson</v>
      </c>
      <c r="N60" t="str">
        <f>LEFT(Table5[[#This Row],[Employee ID]],3)</f>
        <v>EMP</v>
      </c>
      <c r="O60" t="str">
        <f>RIGHT(Table5[[#This Row],[Employee ID]],4)</f>
        <v>1058</v>
      </c>
      <c r="P60" t="str">
        <f>MID(Table5[[#This Row],[Email]],1,7)</f>
        <v>user176</v>
      </c>
    </row>
    <row r="61" spans="1:16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H61" s="16" t="s">
        <v>205</v>
      </c>
      <c r="J61" t="s">
        <v>184</v>
      </c>
      <c r="K61" t="str">
        <f>UPPER(Table5[[#This Row],[Name]])</f>
        <v>SAM WILSON</v>
      </c>
      <c r="L61" t="str">
        <f>LOWER(Table5[[#This Row],[Name]])</f>
        <v>sam wilson</v>
      </c>
      <c r="M61" t="str">
        <f>PROPER(Table5[[#This Row],[Name]])</f>
        <v>Sam Wilson</v>
      </c>
      <c r="N61" t="str">
        <f>LEFT(Table5[[#This Row],[Employee ID]],3)</f>
        <v>EMP</v>
      </c>
      <c r="O61" t="str">
        <f>RIGHT(Table5[[#This Row],[Employee ID]],4)</f>
        <v>1059</v>
      </c>
      <c r="P61" t="str">
        <f>MID(Table5[[#This Row],[Email]],1,7)</f>
        <v>user176</v>
      </c>
    </row>
    <row r="62" spans="1:16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s="16" t="s">
        <v>207</v>
      </c>
      <c r="I62" t="s">
        <v>178</v>
      </c>
      <c r="J62" t="s">
        <v>184</v>
      </c>
      <c r="K62" t="str">
        <f>UPPER(Table5[[#This Row],[Name]])</f>
        <v/>
      </c>
      <c r="L62" t="str">
        <f>LOWER(Table5[[#This Row],[Name]])</f>
        <v/>
      </c>
      <c r="M62" t="str">
        <f>PROPER(Table5[[#This Row],[Name]])</f>
        <v/>
      </c>
      <c r="N62" t="str">
        <f>LEFT(Table5[[#This Row],[Employee ID]],3)</f>
        <v>EMP</v>
      </c>
      <c r="O62" t="str">
        <f>RIGHT(Table5[[#This Row],[Employee ID]],4)</f>
        <v>1060</v>
      </c>
      <c r="P62" t="str">
        <f>MID(Table5[[#This Row],[Email]],1,7)</f>
        <v>user176</v>
      </c>
    </row>
    <row r="63" spans="1:16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H63" s="16" t="s">
        <v>205</v>
      </c>
      <c r="J63" t="s">
        <v>184</v>
      </c>
      <c r="K63" t="str">
        <f>UPPER(Table5[[#This Row],[Name]])</f>
        <v>EVE ADAMS</v>
      </c>
      <c r="L63" t="str">
        <f>LOWER(Table5[[#This Row],[Name]])</f>
        <v>eve adams</v>
      </c>
      <c r="M63" t="str">
        <f>PROPER(Table5[[#This Row],[Name]])</f>
        <v>Eve Adams</v>
      </c>
      <c r="N63" t="str">
        <f>LEFT(Table5[[#This Row],[Employee ID]],3)</f>
        <v>EMP</v>
      </c>
      <c r="O63" t="str">
        <f>RIGHT(Table5[[#This Row],[Employee ID]],4)</f>
        <v>1061</v>
      </c>
      <c r="P63" t="str">
        <f>MID(Table5[[#This Row],[Email]],1,7)</f>
        <v>user176</v>
      </c>
    </row>
    <row r="64" spans="1:16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s="16" t="s">
        <v>207</v>
      </c>
      <c r="I64" t="s">
        <v>181</v>
      </c>
      <c r="J64" t="s">
        <v>184</v>
      </c>
      <c r="K64" t="str">
        <f>UPPER(Table5[[#This Row],[Name]])</f>
        <v>CHRIS LEE</v>
      </c>
      <c r="L64" t="str">
        <f>LOWER(Table5[[#This Row],[Name]])</f>
        <v>chris lee</v>
      </c>
      <c r="M64" t="str">
        <f>PROPER(Table5[[#This Row],[Name]])</f>
        <v>Chris Lee</v>
      </c>
      <c r="N64" t="str">
        <f>LEFT(Table5[[#This Row],[Employee ID]],3)</f>
        <v>EMP</v>
      </c>
      <c r="O64" t="str">
        <f>RIGHT(Table5[[#This Row],[Employee ID]],4)</f>
        <v>1062</v>
      </c>
      <c r="P64" t="str">
        <f>MID(Table5[[#This Row],[Email]],1,7)</f>
        <v>user176</v>
      </c>
    </row>
    <row r="65" spans="1:16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s="16" t="s">
        <v>205</v>
      </c>
      <c r="I65" t="s">
        <v>179</v>
      </c>
      <c r="J65" t="s">
        <v>184</v>
      </c>
      <c r="K65" t="str">
        <f>UPPER(Table5[[#This Row],[Name]])</f>
        <v>EVE ADAMS</v>
      </c>
      <c r="L65" t="str">
        <f>LOWER(Table5[[#This Row],[Name]])</f>
        <v>eve adams</v>
      </c>
      <c r="M65" t="str">
        <f>PROPER(Table5[[#This Row],[Name]])</f>
        <v>Eve Adams</v>
      </c>
      <c r="N65" t="str">
        <f>LEFT(Table5[[#This Row],[Employee ID]],3)</f>
        <v>EMP</v>
      </c>
      <c r="O65" t="str">
        <f>RIGHT(Table5[[#This Row],[Employee ID]],4)</f>
        <v>1063</v>
      </c>
      <c r="P65" t="str">
        <f>MID(Table5[[#This Row],[Email]],1,7)</f>
        <v>user176</v>
      </c>
    </row>
    <row r="66" spans="1:16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s="16" t="s">
        <v>205</v>
      </c>
      <c r="I66" t="s">
        <v>180</v>
      </c>
      <c r="J66" t="s">
        <v>184</v>
      </c>
      <c r="K66" t="str">
        <f>UPPER(Table5[[#This Row],[Name]])</f>
        <v>JOHN DOE</v>
      </c>
      <c r="L66" t="str">
        <f>LOWER(Table5[[#This Row],[Name]])</f>
        <v>john doe</v>
      </c>
      <c r="M66" t="str">
        <f>PROPER(Table5[[#This Row],[Name]])</f>
        <v>John Doe</v>
      </c>
      <c r="N66" t="str">
        <f>LEFT(Table5[[#This Row],[Employee ID]],3)</f>
        <v>EMP</v>
      </c>
      <c r="O66" t="str">
        <f>RIGHT(Table5[[#This Row],[Employee ID]],4)</f>
        <v>1064</v>
      </c>
      <c r="P66" t="str">
        <f>MID(Table5[[#This Row],[Email]],1,7)</f>
        <v>user176</v>
      </c>
    </row>
    <row r="67" spans="1:16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s="16" t="s">
        <v>208</v>
      </c>
      <c r="I67" t="s">
        <v>180</v>
      </c>
      <c r="J67" t="s">
        <v>184</v>
      </c>
      <c r="K67" t="str">
        <f>UPPER(Table5[[#This Row],[Name]])</f>
        <v>SAM WILSON</v>
      </c>
      <c r="L67" t="str">
        <f>LOWER(Table5[[#This Row],[Name]])</f>
        <v>sam wilson</v>
      </c>
      <c r="M67" t="str">
        <f>PROPER(Table5[[#This Row],[Name]])</f>
        <v>Sam Wilson</v>
      </c>
      <c r="N67" t="str">
        <f>LEFT(Table5[[#This Row],[Employee ID]],3)</f>
        <v>EMP</v>
      </c>
      <c r="O67" t="str">
        <f>RIGHT(Table5[[#This Row],[Employee ID]],4)</f>
        <v>1065</v>
      </c>
      <c r="P67" t="str">
        <f>MID(Table5[[#This Row],[Email]],1,7)</f>
        <v>user176</v>
      </c>
    </row>
    <row r="68" spans="1:16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s="16" t="s">
        <v>208</v>
      </c>
      <c r="I68" t="s">
        <v>179</v>
      </c>
      <c r="J68" t="s">
        <v>184</v>
      </c>
      <c r="K68" t="str">
        <f>UPPER(Table5[[#This Row],[Name]])</f>
        <v>SAM WILSON</v>
      </c>
      <c r="L68" t="str">
        <f>LOWER(Table5[[#This Row],[Name]])</f>
        <v>sam wilson</v>
      </c>
      <c r="M68" t="str">
        <f>PROPER(Table5[[#This Row],[Name]])</f>
        <v>Sam Wilson</v>
      </c>
      <c r="N68" t="str">
        <f>LEFT(Table5[[#This Row],[Employee ID]],3)</f>
        <v>EMP</v>
      </c>
      <c r="O68" t="str">
        <f>RIGHT(Table5[[#This Row],[Employee ID]],4)</f>
        <v>1066</v>
      </c>
      <c r="P68" t="str">
        <f>MID(Table5[[#This Row],[Email]],1,7)</f>
        <v>user176</v>
      </c>
    </row>
    <row r="69" spans="1:16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s="16" t="s">
        <v>208</v>
      </c>
      <c r="I69" t="s">
        <v>181</v>
      </c>
      <c r="J69" t="s">
        <v>184</v>
      </c>
      <c r="K69" t="str">
        <f>UPPER(Table5[[#This Row],[Name]])</f>
        <v>ALICE BROWN</v>
      </c>
      <c r="L69" t="str">
        <f>LOWER(Table5[[#This Row],[Name]])</f>
        <v>alice brown</v>
      </c>
      <c r="M69" t="str">
        <f>PROPER(Table5[[#This Row],[Name]])</f>
        <v>Alice Brown</v>
      </c>
      <c r="N69" t="str">
        <f>LEFT(Table5[[#This Row],[Employee ID]],3)</f>
        <v>EMP</v>
      </c>
      <c r="O69" t="str">
        <f>RIGHT(Table5[[#This Row],[Employee ID]],4)</f>
        <v>1067</v>
      </c>
      <c r="P69" t="str">
        <f>MID(Table5[[#This Row],[Email]],1,7)</f>
        <v>user176</v>
      </c>
    </row>
    <row r="70" spans="1:16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H70" s="16" t="s">
        <v>205</v>
      </c>
      <c r="J70" t="s">
        <v>184</v>
      </c>
      <c r="K70" t="str">
        <f>UPPER(Table5[[#This Row],[Name]])</f>
        <v>SAM WILSON</v>
      </c>
      <c r="L70" t="str">
        <f>LOWER(Table5[[#This Row],[Name]])</f>
        <v>sam wilson</v>
      </c>
      <c r="M70" t="str">
        <f>PROPER(Table5[[#This Row],[Name]])</f>
        <v>Sam Wilson</v>
      </c>
      <c r="N70" t="str">
        <f>LEFT(Table5[[#This Row],[Employee ID]],3)</f>
        <v>EMP</v>
      </c>
      <c r="O70" t="str">
        <f>RIGHT(Table5[[#This Row],[Employee ID]],4)</f>
        <v>1068</v>
      </c>
      <c r="P70" t="str">
        <f>MID(Table5[[#This Row],[Email]],1,7)</f>
        <v>user176</v>
      </c>
    </row>
    <row r="71" spans="1:16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H71" s="16" t="s">
        <v>205</v>
      </c>
      <c r="J71" t="s">
        <v>184</v>
      </c>
      <c r="K71" t="str">
        <f>UPPER(Table5[[#This Row],[Name]])</f>
        <v>BOB JOHNSON</v>
      </c>
      <c r="L71" t="str">
        <f>LOWER(Table5[[#This Row],[Name]])</f>
        <v>bob johnson</v>
      </c>
      <c r="M71" t="str">
        <f>PROPER(Table5[[#This Row],[Name]])</f>
        <v>Bob Johnson</v>
      </c>
      <c r="N71" t="str">
        <f>LEFT(Table5[[#This Row],[Employee ID]],3)</f>
        <v>EMP</v>
      </c>
      <c r="O71" t="str">
        <f>RIGHT(Table5[[#This Row],[Employee ID]],4)</f>
        <v>1069</v>
      </c>
      <c r="P71" t="str">
        <f>MID(Table5[[#This Row],[Email]],1,7)</f>
        <v>user176</v>
      </c>
    </row>
    <row r="72" spans="1:16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s="16" t="s">
        <v>207</v>
      </c>
      <c r="I72" t="s">
        <v>181</v>
      </c>
      <c r="J72" t="s">
        <v>184</v>
      </c>
      <c r="K72" t="str">
        <f>UPPER(Table5[[#This Row],[Name]])</f>
        <v>EVE ADAMS</v>
      </c>
      <c r="L72" t="str">
        <f>LOWER(Table5[[#This Row],[Name]])</f>
        <v>eve adams</v>
      </c>
      <c r="M72" t="str">
        <f>PROPER(Table5[[#This Row],[Name]])</f>
        <v>Eve Adams</v>
      </c>
      <c r="N72" t="str">
        <f>LEFT(Table5[[#This Row],[Employee ID]],3)</f>
        <v>EMP</v>
      </c>
      <c r="O72" t="str">
        <f>RIGHT(Table5[[#This Row],[Employee ID]],4)</f>
        <v>1070</v>
      </c>
      <c r="P72" t="str">
        <f>MID(Table5[[#This Row],[Email]],1,7)</f>
        <v>user176</v>
      </c>
    </row>
    <row r="73" spans="1:16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H73" s="16" t="s">
        <v>208</v>
      </c>
      <c r="J73" t="s">
        <v>184</v>
      </c>
      <c r="K73" t="str">
        <f>UPPER(Table5[[#This Row],[Name]])</f>
        <v>EVE ADAMS</v>
      </c>
      <c r="L73" t="str">
        <f>LOWER(Table5[[#This Row],[Name]])</f>
        <v>eve adams</v>
      </c>
      <c r="M73" t="str">
        <f>PROPER(Table5[[#This Row],[Name]])</f>
        <v>Eve Adams</v>
      </c>
      <c r="N73" t="str">
        <f>LEFT(Table5[[#This Row],[Employee ID]],3)</f>
        <v>EMP</v>
      </c>
      <c r="O73" t="str">
        <f>RIGHT(Table5[[#This Row],[Employee ID]],4)</f>
        <v>1071</v>
      </c>
      <c r="P73" t="str">
        <f>MID(Table5[[#This Row],[Email]],1,7)</f>
        <v>user176</v>
      </c>
    </row>
    <row r="74" spans="1:16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s="16" t="s">
        <v>206</v>
      </c>
      <c r="I74" t="s">
        <v>179</v>
      </c>
      <c r="J74" t="s">
        <v>184</v>
      </c>
      <c r="K74" t="str">
        <f>UPPER(Table5[[#This Row],[Name]])</f>
        <v>BOB JOHNSON</v>
      </c>
      <c r="L74" t="str">
        <f>LOWER(Table5[[#This Row],[Name]])</f>
        <v>bob johnson</v>
      </c>
      <c r="M74" t="str">
        <f>PROPER(Table5[[#This Row],[Name]])</f>
        <v>Bob Johnson</v>
      </c>
      <c r="N74" t="str">
        <f>LEFT(Table5[[#This Row],[Employee ID]],3)</f>
        <v>EMP</v>
      </c>
      <c r="O74" t="str">
        <f>RIGHT(Table5[[#This Row],[Employee ID]],4)</f>
        <v>1072</v>
      </c>
      <c r="P74" t="str">
        <f>MID(Table5[[#This Row],[Email]],1,7)</f>
        <v>user176</v>
      </c>
    </row>
    <row r="75" spans="1:16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s="16" t="s">
        <v>208</v>
      </c>
      <c r="I75" t="s">
        <v>181</v>
      </c>
      <c r="J75" t="s">
        <v>184</v>
      </c>
      <c r="K75" t="str">
        <f>UPPER(Table5[[#This Row],[Name]])</f>
        <v>JOHN DOE</v>
      </c>
      <c r="L75" t="str">
        <f>LOWER(Table5[[#This Row],[Name]])</f>
        <v>john doe</v>
      </c>
      <c r="M75" t="str">
        <f>PROPER(Table5[[#This Row],[Name]])</f>
        <v>John Doe</v>
      </c>
      <c r="N75" t="str">
        <f>LEFT(Table5[[#This Row],[Employee ID]],3)</f>
        <v>EMP</v>
      </c>
      <c r="O75" t="str">
        <f>RIGHT(Table5[[#This Row],[Employee ID]],4)</f>
        <v>1073</v>
      </c>
      <c r="P75" t="str">
        <f>MID(Table5[[#This Row],[Email]],1,7)</f>
        <v>user176</v>
      </c>
    </row>
    <row r="76" spans="1:16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H76" s="16" t="s">
        <v>206</v>
      </c>
      <c r="J76" t="s">
        <v>184</v>
      </c>
      <c r="K76" t="str">
        <f>UPPER(Table5[[#This Row],[Name]])</f>
        <v>SAM WILSON</v>
      </c>
      <c r="L76" t="str">
        <f>LOWER(Table5[[#This Row],[Name]])</f>
        <v>sam wilson</v>
      </c>
      <c r="M76" t="str">
        <f>PROPER(Table5[[#This Row],[Name]])</f>
        <v>Sam Wilson</v>
      </c>
      <c r="N76" t="str">
        <f>LEFT(Table5[[#This Row],[Employee ID]],3)</f>
        <v>EMP</v>
      </c>
      <c r="O76" t="str">
        <f>RIGHT(Table5[[#This Row],[Employee ID]],4)</f>
        <v>1074</v>
      </c>
      <c r="P76" t="str">
        <f>MID(Table5[[#This Row],[Email]],1,7)</f>
        <v>user176</v>
      </c>
    </row>
    <row r="77" spans="1:16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s="16" t="s">
        <v>205</v>
      </c>
      <c r="I77" t="s">
        <v>179</v>
      </c>
      <c r="J77" t="s">
        <v>184</v>
      </c>
      <c r="K77" t="str">
        <f>UPPER(Table5[[#This Row],[Name]])</f>
        <v/>
      </c>
      <c r="L77" t="str">
        <f>LOWER(Table5[[#This Row],[Name]])</f>
        <v/>
      </c>
      <c r="M77" t="str">
        <f>PROPER(Table5[[#This Row],[Name]])</f>
        <v/>
      </c>
      <c r="N77" t="str">
        <f>LEFT(Table5[[#This Row],[Employee ID]],3)</f>
        <v>EMP</v>
      </c>
      <c r="O77" t="str">
        <f>RIGHT(Table5[[#This Row],[Employee ID]],4)</f>
        <v>1075</v>
      </c>
      <c r="P77" t="str">
        <f>MID(Table5[[#This Row],[Email]],1,7)</f>
        <v>user176</v>
      </c>
    </row>
    <row r="78" spans="1:16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s="16" t="s">
        <v>205</v>
      </c>
      <c r="I78" t="s">
        <v>180</v>
      </c>
      <c r="J78" t="s">
        <v>184</v>
      </c>
      <c r="K78" t="str">
        <f>UPPER(Table5[[#This Row],[Name]])</f>
        <v>EVE ADAMS</v>
      </c>
      <c r="L78" t="str">
        <f>LOWER(Table5[[#This Row],[Name]])</f>
        <v>eve adams</v>
      </c>
      <c r="M78" t="str">
        <f>PROPER(Table5[[#This Row],[Name]])</f>
        <v>Eve Adams</v>
      </c>
      <c r="N78" t="str">
        <f>LEFT(Table5[[#This Row],[Employee ID]],3)</f>
        <v>EMP</v>
      </c>
      <c r="O78" t="str">
        <f>RIGHT(Table5[[#This Row],[Employee ID]],4)</f>
        <v>1076</v>
      </c>
      <c r="P78" t="str">
        <f>MID(Table5[[#This Row],[Email]],1,7)</f>
        <v>user176</v>
      </c>
    </row>
    <row r="79" spans="1:16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s="16" t="s">
        <v>205</v>
      </c>
      <c r="I79" t="s">
        <v>181</v>
      </c>
      <c r="J79" t="s">
        <v>184</v>
      </c>
      <c r="K79" t="str">
        <f>UPPER(Table5[[#This Row],[Name]])</f>
        <v>JANE SMITH</v>
      </c>
      <c r="L79" t="str">
        <f>LOWER(Table5[[#This Row],[Name]])</f>
        <v>jane smith</v>
      </c>
      <c r="M79" t="str">
        <f>PROPER(Table5[[#This Row],[Name]])</f>
        <v>Jane Smith</v>
      </c>
      <c r="N79" t="str">
        <f>LEFT(Table5[[#This Row],[Employee ID]],3)</f>
        <v>EMP</v>
      </c>
      <c r="O79" t="str">
        <f>RIGHT(Table5[[#This Row],[Employee ID]],4)</f>
        <v>1077</v>
      </c>
      <c r="P79" t="str">
        <f>MID(Table5[[#This Row],[Email]],1,7)</f>
        <v>user176</v>
      </c>
    </row>
    <row r="80" spans="1:16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H80" s="16" t="s">
        <v>205</v>
      </c>
      <c r="J80" t="s">
        <v>184</v>
      </c>
      <c r="K80" t="str">
        <f>UPPER(Table5[[#This Row],[Name]])</f>
        <v>SAM WILSON</v>
      </c>
      <c r="L80" t="str">
        <f>LOWER(Table5[[#This Row],[Name]])</f>
        <v>sam wilson</v>
      </c>
      <c r="M80" t="str">
        <f>PROPER(Table5[[#This Row],[Name]])</f>
        <v>Sam Wilson</v>
      </c>
      <c r="N80" t="str">
        <f>LEFT(Table5[[#This Row],[Employee ID]],3)</f>
        <v>EMP</v>
      </c>
      <c r="O80" t="str">
        <f>RIGHT(Table5[[#This Row],[Employee ID]],4)</f>
        <v>1078</v>
      </c>
      <c r="P80" t="str">
        <f>MID(Table5[[#This Row],[Email]],1,7)</f>
        <v>user176</v>
      </c>
    </row>
    <row r="81" spans="1:16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s="16" t="s">
        <v>205</v>
      </c>
      <c r="I81" t="s">
        <v>179</v>
      </c>
      <c r="J81" t="s">
        <v>184</v>
      </c>
      <c r="K81" t="str">
        <f>UPPER(Table5[[#This Row],[Name]])</f>
        <v>CHRIS LEE</v>
      </c>
      <c r="L81" t="str">
        <f>LOWER(Table5[[#This Row],[Name]])</f>
        <v>chris lee</v>
      </c>
      <c r="M81" t="str">
        <f>PROPER(Table5[[#This Row],[Name]])</f>
        <v>Chris Lee</v>
      </c>
      <c r="N81" t="str">
        <f>LEFT(Table5[[#This Row],[Employee ID]],3)</f>
        <v>EMP</v>
      </c>
      <c r="O81" t="str">
        <f>RIGHT(Table5[[#This Row],[Employee ID]],4)</f>
        <v>1079</v>
      </c>
      <c r="P81" t="str">
        <f>MID(Table5[[#This Row],[Email]],1,7)</f>
        <v>user176</v>
      </c>
    </row>
    <row r="82" spans="1:16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H82" s="16" t="s">
        <v>206</v>
      </c>
      <c r="J82" t="s">
        <v>184</v>
      </c>
      <c r="K82" t="str">
        <f>UPPER(Table5[[#This Row],[Name]])</f>
        <v>EVE ADAMS</v>
      </c>
      <c r="L82" t="str">
        <f>LOWER(Table5[[#This Row],[Name]])</f>
        <v>eve adams</v>
      </c>
      <c r="M82" t="str">
        <f>PROPER(Table5[[#This Row],[Name]])</f>
        <v>Eve Adams</v>
      </c>
      <c r="N82" t="str">
        <f>LEFT(Table5[[#This Row],[Employee ID]],3)</f>
        <v>EMP</v>
      </c>
      <c r="O82" t="str">
        <f>RIGHT(Table5[[#This Row],[Employee ID]],4)</f>
        <v>1080</v>
      </c>
      <c r="P82" t="str">
        <f>MID(Table5[[#This Row],[Email]],1,7)</f>
        <v>user176</v>
      </c>
    </row>
    <row r="83" spans="1:16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s="16" t="s">
        <v>208</v>
      </c>
      <c r="I83" t="s">
        <v>181</v>
      </c>
      <c r="J83" t="s">
        <v>184</v>
      </c>
      <c r="K83" t="str">
        <f>UPPER(Table5[[#This Row],[Name]])</f>
        <v>JANE SMITH</v>
      </c>
      <c r="L83" t="str">
        <f>LOWER(Table5[[#This Row],[Name]])</f>
        <v>jane smith</v>
      </c>
      <c r="M83" t="str">
        <f>PROPER(Table5[[#This Row],[Name]])</f>
        <v>Jane Smith</v>
      </c>
      <c r="N83" t="str">
        <f>LEFT(Table5[[#This Row],[Employee ID]],3)</f>
        <v>EMP</v>
      </c>
      <c r="O83" t="str">
        <f>RIGHT(Table5[[#This Row],[Employee ID]],4)</f>
        <v>1081</v>
      </c>
      <c r="P83" t="str">
        <f>MID(Table5[[#This Row],[Email]],1,7)</f>
        <v>user176</v>
      </c>
    </row>
    <row r="84" spans="1:16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H84" s="16" t="s">
        <v>205</v>
      </c>
      <c r="J84" t="s">
        <v>184</v>
      </c>
      <c r="K84" t="str">
        <f>UPPER(Table5[[#This Row],[Name]])</f>
        <v>EVE ADAMS</v>
      </c>
      <c r="L84" t="str">
        <f>LOWER(Table5[[#This Row],[Name]])</f>
        <v>eve adams</v>
      </c>
      <c r="M84" t="str">
        <f>PROPER(Table5[[#This Row],[Name]])</f>
        <v>Eve Adams</v>
      </c>
      <c r="N84" t="str">
        <f>LEFT(Table5[[#This Row],[Employee ID]],3)</f>
        <v>EMP</v>
      </c>
      <c r="O84" t="str">
        <f>RIGHT(Table5[[#This Row],[Employee ID]],4)</f>
        <v>1082</v>
      </c>
      <c r="P84" t="str">
        <f>MID(Table5[[#This Row],[Email]],1,7)</f>
        <v>user176</v>
      </c>
    </row>
    <row r="85" spans="1:16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s="16" t="s">
        <v>206</v>
      </c>
      <c r="I85" t="s">
        <v>179</v>
      </c>
      <c r="J85" t="s">
        <v>184</v>
      </c>
      <c r="K85" t="str">
        <f>UPPER(Table5[[#This Row],[Name]])</f>
        <v>SAM WILSON</v>
      </c>
      <c r="L85" t="str">
        <f>LOWER(Table5[[#This Row],[Name]])</f>
        <v>sam wilson</v>
      </c>
      <c r="M85" t="str">
        <f>PROPER(Table5[[#This Row],[Name]])</f>
        <v>Sam Wilson</v>
      </c>
      <c r="N85" t="str">
        <f>LEFT(Table5[[#This Row],[Employee ID]],3)</f>
        <v>EMP</v>
      </c>
      <c r="O85" t="str">
        <f>RIGHT(Table5[[#This Row],[Employee ID]],4)</f>
        <v>1083</v>
      </c>
      <c r="P85" t="str">
        <f>MID(Table5[[#This Row],[Email]],1,7)</f>
        <v>user176</v>
      </c>
    </row>
    <row r="86" spans="1:16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s="16" t="s">
        <v>208</v>
      </c>
      <c r="I86" t="s">
        <v>181</v>
      </c>
      <c r="J86" t="s">
        <v>184</v>
      </c>
      <c r="K86" t="str">
        <f>UPPER(Table5[[#This Row],[Name]])</f>
        <v>JOHN DOE</v>
      </c>
      <c r="L86" t="str">
        <f>LOWER(Table5[[#This Row],[Name]])</f>
        <v>john doe</v>
      </c>
      <c r="M86" t="str">
        <f>PROPER(Table5[[#This Row],[Name]])</f>
        <v>John Doe</v>
      </c>
      <c r="N86" t="str">
        <f>LEFT(Table5[[#This Row],[Employee ID]],3)</f>
        <v>EMP</v>
      </c>
      <c r="O86" t="str">
        <f>RIGHT(Table5[[#This Row],[Employee ID]],4)</f>
        <v>1084</v>
      </c>
      <c r="P86" t="str">
        <f>MID(Table5[[#This Row],[Email]],1,7)</f>
        <v>user176</v>
      </c>
    </row>
    <row r="87" spans="1:16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s="16" t="s">
        <v>207</v>
      </c>
      <c r="I87" t="s">
        <v>179</v>
      </c>
      <c r="J87" t="s">
        <v>184</v>
      </c>
      <c r="K87" t="str">
        <f>UPPER(Table5[[#This Row],[Name]])</f>
        <v>CHRIS LEE</v>
      </c>
      <c r="L87" t="str">
        <f>LOWER(Table5[[#This Row],[Name]])</f>
        <v>chris lee</v>
      </c>
      <c r="M87" t="str">
        <f>PROPER(Table5[[#This Row],[Name]])</f>
        <v>Chris Lee</v>
      </c>
      <c r="N87" t="str">
        <f>LEFT(Table5[[#This Row],[Employee ID]],3)</f>
        <v>EMP</v>
      </c>
      <c r="O87" t="str">
        <f>RIGHT(Table5[[#This Row],[Employee ID]],4)</f>
        <v>1085</v>
      </c>
      <c r="P87" t="str">
        <f>MID(Table5[[#This Row],[Email]],1,7)</f>
        <v>user176</v>
      </c>
    </row>
    <row r="88" spans="1:16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s="16" t="s">
        <v>208</v>
      </c>
      <c r="I88" t="s">
        <v>180</v>
      </c>
      <c r="J88" t="s">
        <v>184</v>
      </c>
      <c r="K88" t="str">
        <f>UPPER(Table5[[#This Row],[Name]])</f>
        <v>CHRIS LEE</v>
      </c>
      <c r="L88" t="str">
        <f>LOWER(Table5[[#This Row],[Name]])</f>
        <v>chris lee</v>
      </c>
      <c r="M88" t="str">
        <f>PROPER(Table5[[#This Row],[Name]])</f>
        <v>Chris Lee</v>
      </c>
      <c r="N88" t="str">
        <f>LEFT(Table5[[#This Row],[Employee ID]],3)</f>
        <v>EMP</v>
      </c>
      <c r="O88" t="str">
        <f>RIGHT(Table5[[#This Row],[Employee ID]],4)</f>
        <v>1086</v>
      </c>
      <c r="P88" t="str">
        <f>MID(Table5[[#This Row],[Email]],1,7)</f>
        <v>user176</v>
      </c>
    </row>
    <row r="89" spans="1:16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s="16" t="s">
        <v>208</v>
      </c>
      <c r="I89" t="s">
        <v>180</v>
      </c>
      <c r="J89" t="s">
        <v>184</v>
      </c>
      <c r="K89" t="str">
        <f>UPPER(Table5[[#This Row],[Name]])</f>
        <v>SAM WILSON</v>
      </c>
      <c r="L89" t="str">
        <f>LOWER(Table5[[#This Row],[Name]])</f>
        <v>sam wilson</v>
      </c>
      <c r="M89" t="str">
        <f>PROPER(Table5[[#This Row],[Name]])</f>
        <v>Sam Wilson</v>
      </c>
      <c r="N89" t="str">
        <f>LEFT(Table5[[#This Row],[Employee ID]],3)</f>
        <v>EMP</v>
      </c>
      <c r="O89" t="str">
        <f>RIGHT(Table5[[#This Row],[Employee ID]],4)</f>
        <v>1087</v>
      </c>
      <c r="P89" t="str">
        <f>MID(Table5[[#This Row],[Email]],1,7)</f>
        <v>user176</v>
      </c>
    </row>
    <row r="90" spans="1:16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H90" s="16" t="s">
        <v>208</v>
      </c>
      <c r="J90" t="s">
        <v>184</v>
      </c>
      <c r="K90" t="str">
        <f>UPPER(Table5[[#This Row],[Name]])</f>
        <v>CHRIS LEE</v>
      </c>
      <c r="L90" t="str">
        <f>LOWER(Table5[[#This Row],[Name]])</f>
        <v>chris lee</v>
      </c>
      <c r="M90" t="str">
        <f>PROPER(Table5[[#This Row],[Name]])</f>
        <v>Chris Lee</v>
      </c>
      <c r="N90" t="str">
        <f>LEFT(Table5[[#This Row],[Employee ID]],3)</f>
        <v>EMP</v>
      </c>
      <c r="O90" t="str">
        <f>RIGHT(Table5[[#This Row],[Employee ID]],4)</f>
        <v>1088</v>
      </c>
      <c r="P90" t="str">
        <f>MID(Table5[[#This Row],[Email]],1,7)</f>
        <v>user176</v>
      </c>
    </row>
    <row r="91" spans="1:16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s="16" t="s">
        <v>208</v>
      </c>
      <c r="I91" t="s">
        <v>179</v>
      </c>
      <c r="J91" t="s">
        <v>184</v>
      </c>
      <c r="K91" t="str">
        <f>UPPER(Table5[[#This Row],[Name]])</f>
        <v>JANE SMITH</v>
      </c>
      <c r="L91" t="str">
        <f>LOWER(Table5[[#This Row],[Name]])</f>
        <v>jane smith</v>
      </c>
      <c r="M91" t="str">
        <f>PROPER(Table5[[#This Row],[Name]])</f>
        <v>Jane Smith</v>
      </c>
      <c r="N91" t="str">
        <f>LEFT(Table5[[#This Row],[Employee ID]],3)</f>
        <v>EMP</v>
      </c>
      <c r="O91" t="str">
        <f>RIGHT(Table5[[#This Row],[Employee ID]],4)</f>
        <v>1089</v>
      </c>
      <c r="P91" t="str">
        <f>MID(Table5[[#This Row],[Email]],1,7)</f>
        <v>user176</v>
      </c>
    </row>
    <row r="92" spans="1:16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s="16" t="s">
        <v>208</v>
      </c>
      <c r="I92" t="s">
        <v>178</v>
      </c>
      <c r="J92" t="s">
        <v>184</v>
      </c>
      <c r="K92" t="str">
        <f>UPPER(Table5[[#This Row],[Name]])</f>
        <v/>
      </c>
      <c r="L92" t="str">
        <f>LOWER(Table5[[#This Row],[Name]])</f>
        <v/>
      </c>
      <c r="M92" t="str">
        <f>PROPER(Table5[[#This Row],[Name]])</f>
        <v/>
      </c>
      <c r="N92" t="str">
        <f>LEFT(Table5[[#This Row],[Employee ID]],3)</f>
        <v>EMP</v>
      </c>
      <c r="O92" t="str">
        <f>RIGHT(Table5[[#This Row],[Employee ID]],4)</f>
        <v>1090</v>
      </c>
      <c r="P92" t="str">
        <f>MID(Table5[[#This Row],[Email]],1,7)</f>
        <v>user176</v>
      </c>
    </row>
    <row r="93" spans="1:16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s="16" t="s">
        <v>205</v>
      </c>
      <c r="I93" t="s">
        <v>180</v>
      </c>
      <c r="J93" t="s">
        <v>184</v>
      </c>
      <c r="K93" t="str">
        <f>UPPER(Table5[[#This Row],[Name]])</f>
        <v>ALICE BROWN</v>
      </c>
      <c r="L93" t="str">
        <f>LOWER(Table5[[#This Row],[Name]])</f>
        <v>alice brown</v>
      </c>
      <c r="M93" t="str">
        <f>PROPER(Table5[[#This Row],[Name]])</f>
        <v>Alice Brown</v>
      </c>
      <c r="N93" t="str">
        <f>LEFT(Table5[[#This Row],[Employee ID]],3)</f>
        <v>EMP</v>
      </c>
      <c r="O93" t="str">
        <f>RIGHT(Table5[[#This Row],[Employee ID]],4)</f>
        <v>1091</v>
      </c>
      <c r="P93" t="str">
        <f>MID(Table5[[#This Row],[Email]],1,7)</f>
        <v>user176</v>
      </c>
    </row>
    <row r="94" spans="1:16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s="16" t="s">
        <v>207</v>
      </c>
      <c r="I94" t="s">
        <v>180</v>
      </c>
      <c r="J94" t="s">
        <v>184</v>
      </c>
      <c r="K94" t="str">
        <f>UPPER(Table5[[#This Row],[Name]])</f>
        <v>JANE SMITH</v>
      </c>
      <c r="L94" t="str">
        <f>LOWER(Table5[[#This Row],[Name]])</f>
        <v>jane smith</v>
      </c>
      <c r="M94" t="str">
        <f>PROPER(Table5[[#This Row],[Name]])</f>
        <v>Jane Smith</v>
      </c>
      <c r="N94" t="str">
        <f>LEFT(Table5[[#This Row],[Employee ID]],3)</f>
        <v>EMP</v>
      </c>
      <c r="O94" t="str">
        <f>RIGHT(Table5[[#This Row],[Employee ID]],4)</f>
        <v>1092</v>
      </c>
      <c r="P94" t="str">
        <f>MID(Table5[[#This Row],[Email]],1,7)</f>
        <v>user176</v>
      </c>
    </row>
    <row r="95" spans="1:16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s="16" t="s">
        <v>208</v>
      </c>
      <c r="I95" t="s">
        <v>180</v>
      </c>
      <c r="J95" t="s">
        <v>184</v>
      </c>
      <c r="K95" t="str">
        <f>UPPER(Table5[[#This Row],[Name]])</f>
        <v>ALICE BROWN</v>
      </c>
      <c r="L95" t="str">
        <f>LOWER(Table5[[#This Row],[Name]])</f>
        <v>alice brown</v>
      </c>
      <c r="M95" t="str">
        <f>PROPER(Table5[[#This Row],[Name]])</f>
        <v>Alice Brown</v>
      </c>
      <c r="N95" t="str">
        <f>LEFT(Table5[[#This Row],[Employee ID]],3)</f>
        <v>EMP</v>
      </c>
      <c r="O95" t="str">
        <f>RIGHT(Table5[[#This Row],[Employee ID]],4)</f>
        <v>1093</v>
      </c>
      <c r="P95" t="str">
        <f>MID(Table5[[#This Row],[Email]],1,7)</f>
        <v>user176</v>
      </c>
    </row>
    <row r="96" spans="1:16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s="16" t="s">
        <v>206</v>
      </c>
      <c r="I96" t="s">
        <v>181</v>
      </c>
      <c r="J96" t="s">
        <v>184</v>
      </c>
      <c r="K96" t="str">
        <f>UPPER(Table5[[#This Row],[Name]])</f>
        <v>BOB JOHNSON</v>
      </c>
      <c r="L96" t="str">
        <f>LOWER(Table5[[#This Row],[Name]])</f>
        <v>bob johnson</v>
      </c>
      <c r="M96" t="str">
        <f>PROPER(Table5[[#This Row],[Name]])</f>
        <v>Bob Johnson</v>
      </c>
      <c r="N96" t="str">
        <f>LEFT(Table5[[#This Row],[Employee ID]],3)</f>
        <v>EMP</v>
      </c>
      <c r="O96" t="str">
        <f>RIGHT(Table5[[#This Row],[Employee ID]],4)</f>
        <v>1094</v>
      </c>
      <c r="P96" t="str">
        <f>MID(Table5[[#This Row],[Email]],1,7)</f>
        <v>user176</v>
      </c>
    </row>
    <row r="97" spans="1:16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s="16" t="s">
        <v>206</v>
      </c>
      <c r="I97" t="s">
        <v>179</v>
      </c>
      <c r="J97" t="s">
        <v>184</v>
      </c>
      <c r="K97" t="str">
        <f>UPPER(Table5[[#This Row],[Name]])</f>
        <v>ALICE BROWN</v>
      </c>
      <c r="L97" t="str">
        <f>LOWER(Table5[[#This Row],[Name]])</f>
        <v>alice brown</v>
      </c>
      <c r="M97" t="str">
        <f>PROPER(Table5[[#This Row],[Name]])</f>
        <v>Alice Brown</v>
      </c>
      <c r="N97" t="str">
        <f>LEFT(Table5[[#This Row],[Employee ID]],3)</f>
        <v>EMP</v>
      </c>
      <c r="O97" t="str">
        <f>RIGHT(Table5[[#This Row],[Employee ID]],4)</f>
        <v>1095</v>
      </c>
      <c r="P97" t="str">
        <f>MID(Table5[[#This Row],[Email]],1,7)</f>
        <v>user176</v>
      </c>
    </row>
    <row r="98" spans="1:16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H98" s="16" t="s">
        <v>208</v>
      </c>
      <c r="J98" t="s">
        <v>184</v>
      </c>
      <c r="K98" t="str">
        <f>UPPER(Table5[[#This Row],[Name]])</f>
        <v>JANE SMITH</v>
      </c>
      <c r="L98" t="str">
        <f>LOWER(Table5[[#This Row],[Name]])</f>
        <v>jane smith</v>
      </c>
      <c r="M98" t="str">
        <f>PROPER(Table5[[#This Row],[Name]])</f>
        <v>Jane Smith</v>
      </c>
      <c r="N98" t="str">
        <f>LEFT(Table5[[#This Row],[Employee ID]],3)</f>
        <v>EMP</v>
      </c>
      <c r="O98" t="str">
        <f>RIGHT(Table5[[#This Row],[Employee ID]],4)</f>
        <v>1096</v>
      </c>
      <c r="P98" t="str">
        <f>MID(Table5[[#This Row],[Email]],1,7)</f>
        <v>user176</v>
      </c>
    </row>
    <row r="99" spans="1:16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s="16" t="s">
        <v>205</v>
      </c>
      <c r="I99" t="s">
        <v>180</v>
      </c>
      <c r="J99" t="s">
        <v>184</v>
      </c>
      <c r="K99" t="str">
        <f>UPPER(Table5[[#This Row],[Name]])</f>
        <v>SAM WILSON</v>
      </c>
      <c r="L99" t="str">
        <f>LOWER(Table5[[#This Row],[Name]])</f>
        <v>sam wilson</v>
      </c>
      <c r="M99" t="str">
        <f>PROPER(Table5[[#This Row],[Name]])</f>
        <v>Sam Wilson</v>
      </c>
      <c r="N99" t="str">
        <f>LEFT(Table5[[#This Row],[Employee ID]],3)</f>
        <v>EMP</v>
      </c>
      <c r="O99" t="str">
        <f>RIGHT(Table5[[#This Row],[Employee ID]],4)</f>
        <v>1097</v>
      </c>
      <c r="P99" t="str">
        <f>MID(Table5[[#This Row],[Email]],1,7)</f>
        <v>user176</v>
      </c>
    </row>
    <row r="100" spans="1:16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s="16" t="s">
        <v>206</v>
      </c>
      <c r="I100" t="s">
        <v>180</v>
      </c>
      <c r="J100" t="s">
        <v>184</v>
      </c>
      <c r="K100" t="str">
        <f>UPPER(Table5[[#This Row],[Name]])</f>
        <v>BOB JOHNSON</v>
      </c>
      <c r="L100" t="str">
        <f>LOWER(Table5[[#This Row],[Name]])</f>
        <v>bob johnson</v>
      </c>
      <c r="M100" t="str">
        <f>PROPER(Table5[[#This Row],[Name]])</f>
        <v>Bob Johnson</v>
      </c>
      <c r="N100" t="str">
        <f>LEFT(Table5[[#This Row],[Employee ID]],3)</f>
        <v>EMP</v>
      </c>
      <c r="O100" t="str">
        <f>RIGHT(Table5[[#This Row],[Employee ID]],4)</f>
        <v>1098</v>
      </c>
      <c r="P100" t="str">
        <f>MID(Table5[[#This Row],[Email]],1,7)</f>
        <v>user176</v>
      </c>
    </row>
    <row r="101" spans="1:16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s="16" t="s">
        <v>208</v>
      </c>
      <c r="I101" t="s">
        <v>180</v>
      </c>
      <c r="J101" t="s">
        <v>184</v>
      </c>
      <c r="K101" t="str">
        <f>UPPER(Table5[[#This Row],[Name]])</f>
        <v>EVE ADAMS</v>
      </c>
      <c r="L101" t="str">
        <f>LOWER(Table5[[#This Row],[Name]])</f>
        <v>eve adams</v>
      </c>
      <c r="M101" t="str">
        <f>PROPER(Table5[[#This Row],[Name]])</f>
        <v>Eve Adams</v>
      </c>
      <c r="N101" t="str">
        <f>LEFT(Table5[[#This Row],[Employee ID]],3)</f>
        <v>EMP</v>
      </c>
      <c r="O101" t="str">
        <f>RIGHT(Table5[[#This Row],[Employee ID]],4)</f>
        <v>1099</v>
      </c>
      <c r="P101" t="str">
        <f>MID(Table5[[#This Row],[Email]],1,7)</f>
        <v>user176</v>
      </c>
    </row>
    <row r="102" spans="1:16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s="16" t="s">
        <v>205</v>
      </c>
      <c r="I102" t="s">
        <v>179</v>
      </c>
      <c r="J102" t="s">
        <v>184</v>
      </c>
      <c r="K102" t="str">
        <f>UPPER(Table5[[#This Row],[Name]])</f>
        <v>BOB JOHNSON</v>
      </c>
      <c r="L102" t="str">
        <f>LOWER(Table5[[#This Row],[Name]])</f>
        <v>bob johnson</v>
      </c>
      <c r="M102" t="str">
        <f>PROPER(Table5[[#This Row],[Name]])</f>
        <v>Bob Johnson</v>
      </c>
      <c r="N102" t="str">
        <f>LEFT(Table5[[#This Row],[Employee ID]],3)</f>
        <v>EMP</v>
      </c>
      <c r="O102" t="str">
        <f>RIGHT(Table5[[#This Row],[Employee ID]],4)</f>
        <v>1100</v>
      </c>
      <c r="P102" t="str">
        <f>MID(Table5[[#This Row],[Email]],1,7)</f>
        <v>user176</v>
      </c>
    </row>
    <row r="103" spans="1:16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s="16" t="s">
        <v>206</v>
      </c>
      <c r="I103" t="s">
        <v>180</v>
      </c>
      <c r="J103" t="s">
        <v>184</v>
      </c>
      <c r="K103" t="str">
        <f>UPPER(Table5[[#This Row],[Name]])</f>
        <v>BOB JOHNSON</v>
      </c>
      <c r="L103" t="str">
        <f>LOWER(Table5[[#This Row],[Name]])</f>
        <v>bob johnson</v>
      </c>
      <c r="M103" t="str">
        <f>PROPER(Table5[[#This Row],[Name]])</f>
        <v>Bob Johnson</v>
      </c>
      <c r="N103" t="str">
        <f>LEFT(Table5[[#This Row],[Employee ID]],3)</f>
        <v>EMP</v>
      </c>
      <c r="O103" t="str">
        <f>RIGHT(Table5[[#This Row],[Employee ID]],4)</f>
        <v>1101</v>
      </c>
      <c r="P103" t="str">
        <f>MID(Table5[[#This Row],[Email]],1,7)</f>
        <v>user176</v>
      </c>
    </row>
    <row r="104" spans="1:16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s="16" t="s">
        <v>206</v>
      </c>
      <c r="I104" t="s">
        <v>181</v>
      </c>
      <c r="J104" t="s">
        <v>184</v>
      </c>
      <c r="K104" t="str">
        <f>UPPER(Table5[[#This Row],[Name]])</f>
        <v>ALICE BROWN</v>
      </c>
      <c r="L104" t="str">
        <f>LOWER(Table5[[#This Row],[Name]])</f>
        <v>alice brown</v>
      </c>
      <c r="M104" t="str">
        <f>PROPER(Table5[[#This Row],[Name]])</f>
        <v>Alice Brown</v>
      </c>
      <c r="N104" t="str">
        <f>LEFT(Table5[[#This Row],[Employee ID]],3)</f>
        <v>EMP</v>
      </c>
      <c r="O104" t="str">
        <f>RIGHT(Table5[[#This Row],[Employee ID]],4)</f>
        <v>1102</v>
      </c>
      <c r="P104" t="str">
        <f>MID(Table5[[#This Row],[Email]],1,7)</f>
        <v>user176</v>
      </c>
    </row>
    <row r="105" spans="1:16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s="16" t="s">
        <v>207</v>
      </c>
      <c r="I105" t="s">
        <v>179</v>
      </c>
      <c r="J105" t="s">
        <v>184</v>
      </c>
      <c r="K105" t="str">
        <f>UPPER(Table5[[#This Row],[Name]])</f>
        <v>ALICE BROWN</v>
      </c>
      <c r="L105" t="str">
        <f>LOWER(Table5[[#This Row],[Name]])</f>
        <v>alice brown</v>
      </c>
      <c r="M105" t="str">
        <f>PROPER(Table5[[#This Row],[Name]])</f>
        <v>Alice Brown</v>
      </c>
      <c r="N105" t="str">
        <f>LEFT(Table5[[#This Row],[Employee ID]],3)</f>
        <v>EMP</v>
      </c>
      <c r="O105" t="str">
        <f>RIGHT(Table5[[#This Row],[Employee ID]],4)</f>
        <v>1103</v>
      </c>
      <c r="P105" t="str">
        <f>MID(Table5[[#This Row],[Email]],1,7)</f>
        <v>user176</v>
      </c>
    </row>
    <row r="106" spans="1:16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H106" s="16" t="s">
        <v>205</v>
      </c>
      <c r="J106" t="s">
        <v>184</v>
      </c>
      <c r="K106" t="str">
        <f>UPPER(Table5[[#This Row],[Name]])</f>
        <v>JANE SMITH</v>
      </c>
      <c r="L106" t="str">
        <f>LOWER(Table5[[#This Row],[Name]])</f>
        <v>jane smith</v>
      </c>
      <c r="M106" t="str">
        <f>PROPER(Table5[[#This Row],[Name]])</f>
        <v>Jane Smith</v>
      </c>
      <c r="N106" t="str">
        <f>LEFT(Table5[[#This Row],[Employee ID]],3)</f>
        <v>EMP</v>
      </c>
      <c r="O106" t="str">
        <f>RIGHT(Table5[[#This Row],[Employee ID]],4)</f>
        <v>1104</v>
      </c>
      <c r="P106" t="str">
        <f>MID(Table5[[#This Row],[Email]],1,7)</f>
        <v>user176</v>
      </c>
    </row>
    <row r="107" spans="1:16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s="16" t="s">
        <v>208</v>
      </c>
      <c r="I107" t="s">
        <v>179</v>
      </c>
      <c r="J107" t="s">
        <v>184</v>
      </c>
      <c r="K107" t="str">
        <f>UPPER(Table5[[#This Row],[Name]])</f>
        <v/>
      </c>
      <c r="L107" t="str">
        <f>LOWER(Table5[[#This Row],[Name]])</f>
        <v/>
      </c>
      <c r="M107" t="str">
        <f>PROPER(Table5[[#This Row],[Name]])</f>
        <v/>
      </c>
      <c r="N107" t="str">
        <f>LEFT(Table5[[#This Row],[Employee ID]],3)</f>
        <v>EMP</v>
      </c>
      <c r="O107" t="str">
        <f>RIGHT(Table5[[#This Row],[Employee ID]],4)</f>
        <v>1105</v>
      </c>
      <c r="P107" t="str">
        <f>MID(Table5[[#This Row],[Email]],1,7)</f>
        <v>user176</v>
      </c>
    </row>
    <row r="108" spans="1:16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s="16" t="s">
        <v>206</v>
      </c>
      <c r="I108" t="s">
        <v>180</v>
      </c>
      <c r="J108" t="s">
        <v>184</v>
      </c>
      <c r="K108" t="str">
        <f>UPPER(Table5[[#This Row],[Name]])</f>
        <v>EVE ADAMS</v>
      </c>
      <c r="L108" t="str">
        <f>LOWER(Table5[[#This Row],[Name]])</f>
        <v>eve adams</v>
      </c>
      <c r="M108" t="str">
        <f>PROPER(Table5[[#This Row],[Name]])</f>
        <v>Eve Adams</v>
      </c>
      <c r="N108" t="str">
        <f>LEFT(Table5[[#This Row],[Employee ID]],3)</f>
        <v>EMP</v>
      </c>
      <c r="O108" t="str">
        <f>RIGHT(Table5[[#This Row],[Employee ID]],4)</f>
        <v>1106</v>
      </c>
      <c r="P108" t="str">
        <f>MID(Table5[[#This Row],[Email]],1,7)</f>
        <v>user176</v>
      </c>
    </row>
    <row r="109" spans="1:16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s="16" t="s">
        <v>205</v>
      </c>
      <c r="I109" t="s">
        <v>181</v>
      </c>
      <c r="J109" t="s">
        <v>184</v>
      </c>
      <c r="K109" t="str">
        <f>UPPER(Table5[[#This Row],[Name]])</f>
        <v>SAM WILSON</v>
      </c>
      <c r="L109" t="str">
        <f>LOWER(Table5[[#This Row],[Name]])</f>
        <v>sam wilson</v>
      </c>
      <c r="M109" t="str">
        <f>PROPER(Table5[[#This Row],[Name]])</f>
        <v>Sam Wilson</v>
      </c>
      <c r="N109" t="str">
        <f>LEFT(Table5[[#This Row],[Employee ID]],3)</f>
        <v>EMP</v>
      </c>
      <c r="O109" t="str">
        <f>RIGHT(Table5[[#This Row],[Employee ID]],4)</f>
        <v>1107</v>
      </c>
      <c r="P109" t="str">
        <f>MID(Table5[[#This Row],[Email]],1,7)</f>
        <v>user176</v>
      </c>
    </row>
    <row r="110" spans="1:16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H110" s="16" t="s">
        <v>205</v>
      </c>
      <c r="J110" t="s">
        <v>184</v>
      </c>
      <c r="K110" t="str">
        <f>UPPER(Table5[[#This Row],[Name]])</f>
        <v>SAM WILSON</v>
      </c>
      <c r="L110" t="str">
        <f>LOWER(Table5[[#This Row],[Name]])</f>
        <v>sam wilson</v>
      </c>
      <c r="M110" t="str">
        <f>PROPER(Table5[[#This Row],[Name]])</f>
        <v>Sam Wilson</v>
      </c>
      <c r="N110" t="str">
        <f>LEFT(Table5[[#This Row],[Employee ID]],3)</f>
        <v>EMP</v>
      </c>
      <c r="O110" t="str">
        <f>RIGHT(Table5[[#This Row],[Employee ID]],4)</f>
        <v>1108</v>
      </c>
      <c r="P110" t="str">
        <f>MID(Table5[[#This Row],[Email]],1,7)</f>
        <v>user176</v>
      </c>
    </row>
    <row r="111" spans="1:16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s="16" t="s">
        <v>205</v>
      </c>
      <c r="I111" t="s">
        <v>181</v>
      </c>
      <c r="J111" t="s">
        <v>184</v>
      </c>
      <c r="K111" t="str">
        <f>UPPER(Table5[[#This Row],[Name]])</f>
        <v>JANE SMITH</v>
      </c>
      <c r="L111" t="str">
        <f>LOWER(Table5[[#This Row],[Name]])</f>
        <v>jane smith</v>
      </c>
      <c r="M111" t="str">
        <f>PROPER(Table5[[#This Row],[Name]])</f>
        <v>Jane Smith</v>
      </c>
      <c r="N111" t="str">
        <f>LEFT(Table5[[#This Row],[Employee ID]],3)</f>
        <v>EMP</v>
      </c>
      <c r="O111" t="str">
        <f>RIGHT(Table5[[#This Row],[Employee ID]],4)</f>
        <v>1109</v>
      </c>
      <c r="P111" t="str">
        <f>MID(Table5[[#This Row],[Email]],1,7)</f>
        <v>user176</v>
      </c>
    </row>
    <row r="112" spans="1:16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s="16" t="s">
        <v>205</v>
      </c>
      <c r="I112" t="s">
        <v>181</v>
      </c>
      <c r="J112" t="s">
        <v>184</v>
      </c>
      <c r="K112" t="str">
        <f>UPPER(Table5[[#This Row],[Name]])</f>
        <v>CHRIS LEE</v>
      </c>
      <c r="L112" t="str">
        <f>LOWER(Table5[[#This Row],[Name]])</f>
        <v>chris lee</v>
      </c>
      <c r="M112" t="str">
        <f>PROPER(Table5[[#This Row],[Name]])</f>
        <v>Chris Lee</v>
      </c>
      <c r="N112" t="str">
        <f>LEFT(Table5[[#This Row],[Employee ID]],3)</f>
        <v>EMP</v>
      </c>
      <c r="O112" t="str">
        <f>RIGHT(Table5[[#This Row],[Employee ID]],4)</f>
        <v>1110</v>
      </c>
      <c r="P112" t="str">
        <f>MID(Table5[[#This Row],[Email]],1,7)</f>
        <v>user176</v>
      </c>
    </row>
    <row r="113" spans="1:16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s="16" t="s">
        <v>207</v>
      </c>
      <c r="I113" t="s">
        <v>181</v>
      </c>
      <c r="J113" t="s">
        <v>184</v>
      </c>
      <c r="K113" t="str">
        <f>UPPER(Table5[[#This Row],[Name]])</f>
        <v>CHRIS LEE</v>
      </c>
      <c r="L113" t="str">
        <f>LOWER(Table5[[#This Row],[Name]])</f>
        <v>chris lee</v>
      </c>
      <c r="M113" t="str">
        <f>PROPER(Table5[[#This Row],[Name]])</f>
        <v>Chris Lee</v>
      </c>
      <c r="N113" t="str">
        <f>LEFT(Table5[[#This Row],[Employee ID]],3)</f>
        <v>EMP</v>
      </c>
      <c r="O113" t="str">
        <f>RIGHT(Table5[[#This Row],[Employee ID]],4)</f>
        <v>1111</v>
      </c>
      <c r="P113" t="str">
        <f>MID(Table5[[#This Row],[Email]],1,7)</f>
        <v>user176</v>
      </c>
    </row>
    <row r="114" spans="1:16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s="16" t="s">
        <v>206</v>
      </c>
      <c r="I114" t="s">
        <v>179</v>
      </c>
      <c r="J114" t="s">
        <v>184</v>
      </c>
      <c r="K114" t="str">
        <f>UPPER(Table5[[#This Row],[Name]])</f>
        <v>EVE ADAMS</v>
      </c>
      <c r="L114" t="str">
        <f>LOWER(Table5[[#This Row],[Name]])</f>
        <v>eve adams</v>
      </c>
      <c r="M114" t="str">
        <f>PROPER(Table5[[#This Row],[Name]])</f>
        <v>Eve Adams</v>
      </c>
      <c r="N114" t="str">
        <f>LEFT(Table5[[#This Row],[Employee ID]],3)</f>
        <v>EMP</v>
      </c>
      <c r="O114" t="str">
        <f>RIGHT(Table5[[#This Row],[Employee ID]],4)</f>
        <v>1112</v>
      </c>
      <c r="P114" t="str">
        <f>MID(Table5[[#This Row],[Email]],1,7)</f>
        <v>user176</v>
      </c>
    </row>
    <row r="115" spans="1:16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s="16" t="s">
        <v>205</v>
      </c>
      <c r="I115" t="s">
        <v>180</v>
      </c>
      <c r="J115" t="s">
        <v>184</v>
      </c>
      <c r="K115" t="str">
        <f>UPPER(Table5[[#This Row],[Name]])</f>
        <v>ALICE BROWN</v>
      </c>
      <c r="L115" t="str">
        <f>LOWER(Table5[[#This Row],[Name]])</f>
        <v>alice brown</v>
      </c>
      <c r="M115" t="str">
        <f>PROPER(Table5[[#This Row],[Name]])</f>
        <v>Alice Brown</v>
      </c>
      <c r="N115" t="str">
        <f>LEFT(Table5[[#This Row],[Employee ID]],3)</f>
        <v>EMP</v>
      </c>
      <c r="O115" t="str">
        <f>RIGHT(Table5[[#This Row],[Employee ID]],4)</f>
        <v>1113</v>
      </c>
      <c r="P115" t="str">
        <f>MID(Table5[[#This Row],[Email]],1,7)</f>
        <v>user176</v>
      </c>
    </row>
    <row r="116" spans="1:16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H116" s="16" t="s">
        <v>208</v>
      </c>
      <c r="J116" t="s">
        <v>184</v>
      </c>
      <c r="K116" t="str">
        <f>UPPER(Table5[[#This Row],[Name]])</f>
        <v>EVE ADAMS</v>
      </c>
      <c r="L116" t="str">
        <f>LOWER(Table5[[#This Row],[Name]])</f>
        <v>eve adams</v>
      </c>
      <c r="M116" t="str">
        <f>PROPER(Table5[[#This Row],[Name]])</f>
        <v>Eve Adams</v>
      </c>
      <c r="N116" t="str">
        <f>LEFT(Table5[[#This Row],[Employee ID]],3)</f>
        <v>EMP</v>
      </c>
      <c r="O116" t="str">
        <f>RIGHT(Table5[[#This Row],[Employee ID]],4)</f>
        <v>1114</v>
      </c>
      <c r="P116" t="str">
        <f>MID(Table5[[#This Row],[Email]],1,7)</f>
        <v>user176</v>
      </c>
    </row>
    <row r="117" spans="1:16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s="16" t="s">
        <v>208</v>
      </c>
      <c r="I117" t="s">
        <v>181</v>
      </c>
      <c r="J117" t="s">
        <v>184</v>
      </c>
      <c r="K117" t="str">
        <f>UPPER(Table5[[#This Row],[Name]])</f>
        <v>BOB JOHNSON</v>
      </c>
      <c r="L117" t="str">
        <f>LOWER(Table5[[#This Row],[Name]])</f>
        <v>bob johnson</v>
      </c>
      <c r="M117" t="str">
        <f>PROPER(Table5[[#This Row],[Name]])</f>
        <v>Bob Johnson</v>
      </c>
      <c r="N117" t="str">
        <f>LEFT(Table5[[#This Row],[Employee ID]],3)</f>
        <v>EMP</v>
      </c>
      <c r="O117" t="str">
        <f>RIGHT(Table5[[#This Row],[Employee ID]],4)</f>
        <v>1115</v>
      </c>
      <c r="P117" t="str">
        <f>MID(Table5[[#This Row],[Email]],1,7)</f>
        <v>user176</v>
      </c>
    </row>
    <row r="118" spans="1:16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s="16" t="s">
        <v>207</v>
      </c>
      <c r="I118" t="s">
        <v>181</v>
      </c>
      <c r="J118" t="s">
        <v>184</v>
      </c>
      <c r="K118" t="str">
        <f>UPPER(Table5[[#This Row],[Name]])</f>
        <v>BOB JOHNSON</v>
      </c>
      <c r="L118" t="str">
        <f>LOWER(Table5[[#This Row],[Name]])</f>
        <v>bob johnson</v>
      </c>
      <c r="M118" t="str">
        <f>PROPER(Table5[[#This Row],[Name]])</f>
        <v>Bob Johnson</v>
      </c>
      <c r="N118" t="str">
        <f>LEFT(Table5[[#This Row],[Employee ID]],3)</f>
        <v>EMP</v>
      </c>
      <c r="O118" t="str">
        <f>RIGHT(Table5[[#This Row],[Employee ID]],4)</f>
        <v>1116</v>
      </c>
      <c r="P118" t="str">
        <f>MID(Table5[[#This Row],[Email]],1,7)</f>
        <v>user176</v>
      </c>
    </row>
    <row r="119" spans="1:16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H119" s="16" t="s">
        <v>205</v>
      </c>
      <c r="J119" t="s">
        <v>184</v>
      </c>
      <c r="K119" t="str">
        <f>UPPER(Table5[[#This Row],[Name]])</f>
        <v>BOB JOHNSON</v>
      </c>
      <c r="L119" t="str">
        <f>LOWER(Table5[[#This Row],[Name]])</f>
        <v>bob johnson</v>
      </c>
      <c r="M119" t="str">
        <f>PROPER(Table5[[#This Row],[Name]])</f>
        <v>Bob Johnson</v>
      </c>
      <c r="N119" t="str">
        <f>LEFT(Table5[[#This Row],[Employee ID]],3)</f>
        <v>EMP</v>
      </c>
      <c r="O119" t="str">
        <f>RIGHT(Table5[[#This Row],[Employee ID]],4)</f>
        <v>1117</v>
      </c>
      <c r="P119" t="str">
        <f>MID(Table5[[#This Row],[Email]],1,7)</f>
        <v>user176</v>
      </c>
    </row>
    <row r="120" spans="1:16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H120" s="16" t="s">
        <v>208</v>
      </c>
      <c r="J120" t="s">
        <v>184</v>
      </c>
      <c r="K120" t="str">
        <f>UPPER(Table5[[#This Row],[Name]])</f>
        <v>CHRIS LEE</v>
      </c>
      <c r="L120" t="str">
        <f>LOWER(Table5[[#This Row],[Name]])</f>
        <v>chris lee</v>
      </c>
      <c r="M120" t="str">
        <f>PROPER(Table5[[#This Row],[Name]])</f>
        <v>Chris Lee</v>
      </c>
      <c r="N120" t="str">
        <f>LEFT(Table5[[#This Row],[Employee ID]],3)</f>
        <v>EMP</v>
      </c>
      <c r="O120" t="str">
        <f>RIGHT(Table5[[#This Row],[Employee ID]],4)</f>
        <v>1118</v>
      </c>
      <c r="P120" t="str">
        <f>MID(Table5[[#This Row],[Email]],1,7)</f>
        <v>user176</v>
      </c>
    </row>
    <row r="121" spans="1:16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s="16" t="s">
        <v>206</v>
      </c>
      <c r="I121" t="s">
        <v>181</v>
      </c>
      <c r="J121" t="s">
        <v>184</v>
      </c>
      <c r="K121" t="str">
        <f>UPPER(Table5[[#This Row],[Name]])</f>
        <v>EVE ADAMS</v>
      </c>
      <c r="L121" t="str">
        <f>LOWER(Table5[[#This Row],[Name]])</f>
        <v>eve adams</v>
      </c>
      <c r="M121" t="str">
        <f>PROPER(Table5[[#This Row],[Name]])</f>
        <v>Eve Adams</v>
      </c>
      <c r="N121" t="str">
        <f>LEFT(Table5[[#This Row],[Employee ID]],3)</f>
        <v>EMP</v>
      </c>
      <c r="O121" t="str">
        <f>RIGHT(Table5[[#This Row],[Employee ID]],4)</f>
        <v>1119</v>
      </c>
      <c r="P121" t="str">
        <f>MID(Table5[[#This Row],[Email]],1,7)</f>
        <v>user176</v>
      </c>
    </row>
    <row r="122" spans="1:16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s="16" t="s">
        <v>207</v>
      </c>
      <c r="I122" t="s">
        <v>178</v>
      </c>
      <c r="J122" t="s">
        <v>184</v>
      </c>
      <c r="K122" t="str">
        <f>UPPER(Table5[[#This Row],[Name]])</f>
        <v/>
      </c>
      <c r="L122" t="str">
        <f>LOWER(Table5[[#This Row],[Name]])</f>
        <v/>
      </c>
      <c r="M122" t="str">
        <f>PROPER(Table5[[#This Row],[Name]])</f>
        <v/>
      </c>
      <c r="N122" t="str">
        <f>LEFT(Table5[[#This Row],[Employee ID]],3)</f>
        <v>EMP</v>
      </c>
      <c r="O122" t="str">
        <f>RIGHT(Table5[[#This Row],[Employee ID]],4)</f>
        <v>1120</v>
      </c>
      <c r="P122" t="str">
        <f>MID(Table5[[#This Row],[Email]],1,7)</f>
        <v>user176</v>
      </c>
    </row>
    <row r="123" spans="1:16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H123" s="16" t="s">
        <v>205</v>
      </c>
      <c r="J123" t="s">
        <v>184</v>
      </c>
      <c r="K123" t="str">
        <f>UPPER(Table5[[#This Row],[Name]])</f>
        <v>CHRIS LEE</v>
      </c>
      <c r="L123" t="str">
        <f>LOWER(Table5[[#This Row],[Name]])</f>
        <v>chris lee</v>
      </c>
      <c r="M123" t="str">
        <f>PROPER(Table5[[#This Row],[Name]])</f>
        <v>Chris Lee</v>
      </c>
      <c r="N123" t="str">
        <f>LEFT(Table5[[#This Row],[Employee ID]],3)</f>
        <v>EMP</v>
      </c>
      <c r="O123" t="str">
        <f>RIGHT(Table5[[#This Row],[Employee ID]],4)</f>
        <v>1121</v>
      </c>
      <c r="P123" t="str">
        <f>MID(Table5[[#This Row],[Email]],1,7)</f>
        <v>user176</v>
      </c>
    </row>
    <row r="124" spans="1:16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s="16" t="s">
        <v>208</v>
      </c>
      <c r="I124" t="s">
        <v>180</v>
      </c>
      <c r="J124" t="s">
        <v>184</v>
      </c>
      <c r="K124" t="str">
        <f>UPPER(Table5[[#This Row],[Name]])</f>
        <v>BOB JOHNSON</v>
      </c>
      <c r="L124" t="str">
        <f>LOWER(Table5[[#This Row],[Name]])</f>
        <v>bob johnson</v>
      </c>
      <c r="M124" t="str">
        <f>PROPER(Table5[[#This Row],[Name]])</f>
        <v>Bob Johnson</v>
      </c>
      <c r="N124" t="str">
        <f>LEFT(Table5[[#This Row],[Employee ID]],3)</f>
        <v>EMP</v>
      </c>
      <c r="O124" t="str">
        <f>RIGHT(Table5[[#This Row],[Employee ID]],4)</f>
        <v>1122</v>
      </c>
      <c r="P124" t="str">
        <f>MID(Table5[[#This Row],[Email]],1,7)</f>
        <v>user176</v>
      </c>
    </row>
    <row r="125" spans="1:16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s="16" t="s">
        <v>207</v>
      </c>
      <c r="I125" t="s">
        <v>180</v>
      </c>
      <c r="J125" t="s">
        <v>184</v>
      </c>
      <c r="K125" t="str">
        <f>UPPER(Table5[[#This Row],[Name]])</f>
        <v>JANE SMITH</v>
      </c>
      <c r="L125" t="str">
        <f>LOWER(Table5[[#This Row],[Name]])</f>
        <v>jane smith</v>
      </c>
      <c r="M125" t="str">
        <f>PROPER(Table5[[#This Row],[Name]])</f>
        <v>Jane Smith</v>
      </c>
      <c r="N125" t="str">
        <f>LEFT(Table5[[#This Row],[Employee ID]],3)</f>
        <v>EMP</v>
      </c>
      <c r="O125" t="str">
        <f>RIGHT(Table5[[#This Row],[Employee ID]],4)</f>
        <v>1123</v>
      </c>
      <c r="P125" t="str">
        <f>MID(Table5[[#This Row],[Email]],1,7)</f>
        <v>user176</v>
      </c>
    </row>
    <row r="126" spans="1:16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s="16" t="s">
        <v>205</v>
      </c>
      <c r="I126" t="s">
        <v>181</v>
      </c>
      <c r="J126" t="s">
        <v>184</v>
      </c>
      <c r="K126" t="str">
        <f>UPPER(Table5[[#This Row],[Name]])</f>
        <v>JOHN DOE</v>
      </c>
      <c r="L126" t="str">
        <f>LOWER(Table5[[#This Row],[Name]])</f>
        <v>john doe</v>
      </c>
      <c r="M126" t="str">
        <f>PROPER(Table5[[#This Row],[Name]])</f>
        <v>John Doe</v>
      </c>
      <c r="N126" t="str">
        <f>LEFT(Table5[[#This Row],[Employee ID]],3)</f>
        <v>EMP</v>
      </c>
      <c r="O126" t="str">
        <f>RIGHT(Table5[[#This Row],[Employee ID]],4)</f>
        <v>1124</v>
      </c>
      <c r="P126" t="str">
        <f>MID(Table5[[#This Row],[Email]],1,7)</f>
        <v>user176</v>
      </c>
    </row>
    <row r="127" spans="1:16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H127" s="16" t="s">
        <v>207</v>
      </c>
      <c r="J127" t="s">
        <v>184</v>
      </c>
      <c r="K127" t="str">
        <f>UPPER(Table5[[#This Row],[Name]])</f>
        <v>JOHN DOE</v>
      </c>
      <c r="L127" t="str">
        <f>LOWER(Table5[[#This Row],[Name]])</f>
        <v>john doe</v>
      </c>
      <c r="M127" t="str">
        <f>PROPER(Table5[[#This Row],[Name]])</f>
        <v>John Doe</v>
      </c>
      <c r="N127" t="str">
        <f>LEFT(Table5[[#This Row],[Employee ID]],3)</f>
        <v>EMP</v>
      </c>
      <c r="O127" t="str">
        <f>RIGHT(Table5[[#This Row],[Employee ID]],4)</f>
        <v>1125</v>
      </c>
      <c r="P127" t="str">
        <f>MID(Table5[[#This Row],[Email]],1,7)</f>
        <v>user176</v>
      </c>
    </row>
    <row r="128" spans="1:16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s="16" t="s">
        <v>208</v>
      </c>
      <c r="I128" t="s">
        <v>180</v>
      </c>
      <c r="J128" t="s">
        <v>184</v>
      </c>
      <c r="K128" t="str">
        <f>UPPER(Table5[[#This Row],[Name]])</f>
        <v>BOB JOHNSON</v>
      </c>
      <c r="L128" t="str">
        <f>LOWER(Table5[[#This Row],[Name]])</f>
        <v>bob johnson</v>
      </c>
      <c r="M128" t="str">
        <f>PROPER(Table5[[#This Row],[Name]])</f>
        <v>Bob Johnson</v>
      </c>
      <c r="N128" t="str">
        <f>LEFT(Table5[[#This Row],[Employee ID]],3)</f>
        <v>EMP</v>
      </c>
      <c r="O128" t="str">
        <f>RIGHT(Table5[[#This Row],[Employee ID]],4)</f>
        <v>1126</v>
      </c>
      <c r="P128" t="str">
        <f>MID(Table5[[#This Row],[Email]],1,7)</f>
        <v>user176</v>
      </c>
    </row>
    <row r="129" spans="1:16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s="16" t="s">
        <v>205</v>
      </c>
      <c r="I129" t="s">
        <v>180</v>
      </c>
      <c r="J129" t="s">
        <v>184</v>
      </c>
      <c r="K129" t="str">
        <f>UPPER(Table5[[#This Row],[Name]])</f>
        <v>JOHN DOE</v>
      </c>
      <c r="L129" t="str">
        <f>LOWER(Table5[[#This Row],[Name]])</f>
        <v>john doe</v>
      </c>
      <c r="M129" t="str">
        <f>PROPER(Table5[[#This Row],[Name]])</f>
        <v>John Doe</v>
      </c>
      <c r="N129" t="str">
        <f>LEFT(Table5[[#This Row],[Employee ID]],3)</f>
        <v>EMP</v>
      </c>
      <c r="O129" t="str">
        <f>RIGHT(Table5[[#This Row],[Employee ID]],4)</f>
        <v>1127</v>
      </c>
      <c r="P129" t="str">
        <f>MID(Table5[[#This Row],[Email]],1,7)</f>
        <v>user176</v>
      </c>
    </row>
    <row r="130" spans="1:16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H130" s="16" t="s">
        <v>205</v>
      </c>
      <c r="J130" t="s">
        <v>184</v>
      </c>
      <c r="K130" t="str">
        <f>UPPER(Table5[[#This Row],[Name]])</f>
        <v>CHRIS LEE</v>
      </c>
      <c r="L130" t="str">
        <f>LOWER(Table5[[#This Row],[Name]])</f>
        <v>chris lee</v>
      </c>
      <c r="M130" t="str">
        <f>PROPER(Table5[[#This Row],[Name]])</f>
        <v>Chris Lee</v>
      </c>
      <c r="N130" t="str">
        <f>LEFT(Table5[[#This Row],[Employee ID]],3)</f>
        <v>EMP</v>
      </c>
      <c r="O130" t="str">
        <f>RIGHT(Table5[[#This Row],[Employee ID]],4)</f>
        <v>1128</v>
      </c>
      <c r="P130" t="str">
        <f>MID(Table5[[#This Row],[Email]],1,7)</f>
        <v>user176</v>
      </c>
    </row>
    <row r="131" spans="1:16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H131" s="16" t="s">
        <v>206</v>
      </c>
      <c r="J131" t="s">
        <v>184</v>
      </c>
      <c r="K131" t="str">
        <f>UPPER(Table5[[#This Row],[Name]])</f>
        <v>BOB JOHNSON</v>
      </c>
      <c r="L131" t="str">
        <f>LOWER(Table5[[#This Row],[Name]])</f>
        <v>bob johnson</v>
      </c>
      <c r="M131" t="str">
        <f>PROPER(Table5[[#This Row],[Name]])</f>
        <v>Bob Johnson</v>
      </c>
      <c r="N131" t="str">
        <f>LEFT(Table5[[#This Row],[Employee ID]],3)</f>
        <v>EMP</v>
      </c>
      <c r="O131" t="str">
        <f>RIGHT(Table5[[#This Row],[Employee ID]],4)</f>
        <v>1129</v>
      </c>
      <c r="P131" t="str">
        <f>MID(Table5[[#This Row],[Email]],1,7)</f>
        <v>user176</v>
      </c>
    </row>
    <row r="132" spans="1:16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s="16" t="s">
        <v>208</v>
      </c>
      <c r="I132" t="s">
        <v>180</v>
      </c>
      <c r="J132" t="s">
        <v>184</v>
      </c>
      <c r="K132" t="str">
        <f>UPPER(Table5[[#This Row],[Name]])</f>
        <v>ALICE BROWN</v>
      </c>
      <c r="L132" t="str">
        <f>LOWER(Table5[[#This Row],[Name]])</f>
        <v>alice brown</v>
      </c>
      <c r="M132" t="str">
        <f>PROPER(Table5[[#This Row],[Name]])</f>
        <v>Alice Brown</v>
      </c>
      <c r="N132" t="str">
        <f>LEFT(Table5[[#This Row],[Employee ID]],3)</f>
        <v>EMP</v>
      </c>
      <c r="O132" t="str">
        <f>RIGHT(Table5[[#This Row],[Employee ID]],4)</f>
        <v>1130</v>
      </c>
      <c r="P132" t="str">
        <f>MID(Table5[[#This Row],[Email]],1,7)</f>
        <v>user176</v>
      </c>
    </row>
    <row r="133" spans="1:16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s="16" t="s">
        <v>208</v>
      </c>
      <c r="I133" t="s">
        <v>179</v>
      </c>
      <c r="J133" t="s">
        <v>184</v>
      </c>
      <c r="K133" t="str">
        <f>UPPER(Table5[[#This Row],[Name]])</f>
        <v>SAM WILSON</v>
      </c>
      <c r="L133" t="str">
        <f>LOWER(Table5[[#This Row],[Name]])</f>
        <v>sam wilson</v>
      </c>
      <c r="M133" t="str">
        <f>PROPER(Table5[[#This Row],[Name]])</f>
        <v>Sam Wilson</v>
      </c>
      <c r="N133" t="str">
        <f>LEFT(Table5[[#This Row],[Employee ID]],3)</f>
        <v>EMP</v>
      </c>
      <c r="O133" t="str">
        <f>RIGHT(Table5[[#This Row],[Employee ID]],4)</f>
        <v>1131</v>
      </c>
      <c r="P133" t="str">
        <f>MID(Table5[[#This Row],[Email]],1,7)</f>
        <v>user176</v>
      </c>
    </row>
    <row r="134" spans="1:16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s="16" t="s">
        <v>208</v>
      </c>
      <c r="I134" t="s">
        <v>179</v>
      </c>
      <c r="J134" t="s">
        <v>184</v>
      </c>
      <c r="K134" t="str">
        <f>UPPER(Table5[[#This Row],[Name]])</f>
        <v>EVE ADAMS</v>
      </c>
      <c r="L134" t="str">
        <f>LOWER(Table5[[#This Row],[Name]])</f>
        <v>eve adams</v>
      </c>
      <c r="M134" t="str">
        <f>PROPER(Table5[[#This Row],[Name]])</f>
        <v>Eve Adams</v>
      </c>
      <c r="N134" t="str">
        <f>LEFT(Table5[[#This Row],[Employee ID]],3)</f>
        <v>EMP</v>
      </c>
      <c r="O134" t="str">
        <f>RIGHT(Table5[[#This Row],[Employee ID]],4)</f>
        <v>1132</v>
      </c>
      <c r="P134" t="str">
        <f>MID(Table5[[#This Row],[Email]],1,7)</f>
        <v>user176</v>
      </c>
    </row>
    <row r="135" spans="1:16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H135" s="16" t="s">
        <v>208</v>
      </c>
      <c r="J135" t="s">
        <v>184</v>
      </c>
      <c r="K135" t="str">
        <f>UPPER(Table5[[#This Row],[Name]])</f>
        <v>CHRIS LEE</v>
      </c>
      <c r="L135" t="str">
        <f>LOWER(Table5[[#This Row],[Name]])</f>
        <v>chris lee</v>
      </c>
      <c r="M135" t="str">
        <f>PROPER(Table5[[#This Row],[Name]])</f>
        <v>Chris Lee</v>
      </c>
      <c r="N135" t="str">
        <f>LEFT(Table5[[#This Row],[Employee ID]],3)</f>
        <v>EMP</v>
      </c>
      <c r="O135" t="str">
        <f>RIGHT(Table5[[#This Row],[Employee ID]],4)</f>
        <v>1133</v>
      </c>
      <c r="P135" t="str">
        <f>MID(Table5[[#This Row],[Email]],1,7)</f>
        <v>user176</v>
      </c>
    </row>
    <row r="136" spans="1:16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s="16" t="s">
        <v>205</v>
      </c>
      <c r="I136" t="s">
        <v>179</v>
      </c>
      <c r="J136" t="s">
        <v>184</v>
      </c>
      <c r="K136" t="str">
        <f>UPPER(Table5[[#This Row],[Name]])</f>
        <v>EVE ADAMS</v>
      </c>
      <c r="L136" t="str">
        <f>LOWER(Table5[[#This Row],[Name]])</f>
        <v>eve adams</v>
      </c>
      <c r="M136" t="str">
        <f>PROPER(Table5[[#This Row],[Name]])</f>
        <v>Eve Adams</v>
      </c>
      <c r="N136" t="str">
        <f>LEFT(Table5[[#This Row],[Employee ID]],3)</f>
        <v>EMP</v>
      </c>
      <c r="O136" t="str">
        <f>RIGHT(Table5[[#This Row],[Employee ID]],4)</f>
        <v>1134</v>
      </c>
      <c r="P136" t="str">
        <f>MID(Table5[[#This Row],[Email]],1,7)</f>
        <v>user176</v>
      </c>
    </row>
    <row r="137" spans="1:16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s="16" t="s">
        <v>208</v>
      </c>
      <c r="I137" t="s">
        <v>181</v>
      </c>
      <c r="J137" t="s">
        <v>184</v>
      </c>
      <c r="K137" t="str">
        <f>UPPER(Table5[[#This Row],[Name]])</f>
        <v/>
      </c>
      <c r="L137" t="str">
        <f>LOWER(Table5[[#This Row],[Name]])</f>
        <v/>
      </c>
      <c r="M137" t="str">
        <f>PROPER(Table5[[#This Row],[Name]])</f>
        <v/>
      </c>
      <c r="N137" t="str">
        <f>LEFT(Table5[[#This Row],[Employee ID]],3)</f>
        <v>EMP</v>
      </c>
      <c r="O137" t="str">
        <f>RIGHT(Table5[[#This Row],[Employee ID]],4)</f>
        <v>1135</v>
      </c>
      <c r="P137" t="str">
        <f>MID(Table5[[#This Row],[Email]],1,7)</f>
        <v>user176</v>
      </c>
    </row>
    <row r="138" spans="1:16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s="16" t="s">
        <v>208</v>
      </c>
      <c r="I138" t="s">
        <v>179</v>
      </c>
      <c r="J138" t="s">
        <v>184</v>
      </c>
      <c r="K138" t="str">
        <f>UPPER(Table5[[#This Row],[Name]])</f>
        <v>JANE SMITH</v>
      </c>
      <c r="L138" t="str">
        <f>LOWER(Table5[[#This Row],[Name]])</f>
        <v>jane smith</v>
      </c>
      <c r="M138" t="str">
        <f>PROPER(Table5[[#This Row],[Name]])</f>
        <v>Jane Smith</v>
      </c>
      <c r="N138" t="str">
        <f>LEFT(Table5[[#This Row],[Employee ID]],3)</f>
        <v>EMP</v>
      </c>
      <c r="O138" t="str">
        <f>RIGHT(Table5[[#This Row],[Employee ID]],4)</f>
        <v>1136</v>
      </c>
      <c r="P138" t="str">
        <f>MID(Table5[[#This Row],[Email]],1,7)</f>
        <v>user176</v>
      </c>
    </row>
    <row r="139" spans="1:16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H139" s="16" t="s">
        <v>206</v>
      </c>
      <c r="J139" t="s">
        <v>184</v>
      </c>
      <c r="K139" t="str">
        <f>UPPER(Table5[[#This Row],[Name]])</f>
        <v>CHRIS LEE</v>
      </c>
      <c r="L139" t="str">
        <f>LOWER(Table5[[#This Row],[Name]])</f>
        <v>chris lee</v>
      </c>
      <c r="M139" t="str">
        <f>PROPER(Table5[[#This Row],[Name]])</f>
        <v>Chris Lee</v>
      </c>
      <c r="N139" t="str">
        <f>LEFT(Table5[[#This Row],[Employee ID]],3)</f>
        <v>EMP</v>
      </c>
      <c r="O139" t="str">
        <f>RIGHT(Table5[[#This Row],[Employee ID]],4)</f>
        <v>1137</v>
      </c>
      <c r="P139" t="str">
        <f>MID(Table5[[#This Row],[Email]],1,7)</f>
        <v>user176</v>
      </c>
    </row>
    <row r="140" spans="1:16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s="16" t="s">
        <v>208</v>
      </c>
      <c r="I140" t="s">
        <v>181</v>
      </c>
      <c r="J140" t="s">
        <v>184</v>
      </c>
      <c r="K140" t="str">
        <f>UPPER(Table5[[#This Row],[Name]])</f>
        <v>CHRIS LEE</v>
      </c>
      <c r="L140" t="str">
        <f>LOWER(Table5[[#This Row],[Name]])</f>
        <v>chris lee</v>
      </c>
      <c r="M140" t="str">
        <f>PROPER(Table5[[#This Row],[Name]])</f>
        <v>Chris Lee</v>
      </c>
      <c r="N140" t="str">
        <f>LEFT(Table5[[#This Row],[Employee ID]],3)</f>
        <v>EMP</v>
      </c>
      <c r="O140" t="str">
        <f>RIGHT(Table5[[#This Row],[Employee ID]],4)</f>
        <v>1138</v>
      </c>
      <c r="P140" t="str">
        <f>MID(Table5[[#This Row],[Email]],1,7)</f>
        <v>user176</v>
      </c>
    </row>
    <row r="141" spans="1:16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H141" s="16" t="s">
        <v>205</v>
      </c>
      <c r="J141" t="s">
        <v>184</v>
      </c>
      <c r="K141" t="str">
        <f>UPPER(Table5[[#This Row],[Name]])</f>
        <v>BOB JOHNSON</v>
      </c>
      <c r="L141" t="str">
        <f>LOWER(Table5[[#This Row],[Name]])</f>
        <v>bob johnson</v>
      </c>
      <c r="M141" t="str">
        <f>PROPER(Table5[[#This Row],[Name]])</f>
        <v>Bob Johnson</v>
      </c>
      <c r="N141" t="str">
        <f>LEFT(Table5[[#This Row],[Employee ID]],3)</f>
        <v>EMP</v>
      </c>
      <c r="O141" t="str">
        <f>RIGHT(Table5[[#This Row],[Employee ID]],4)</f>
        <v>1139</v>
      </c>
      <c r="P141" t="str">
        <f>MID(Table5[[#This Row],[Email]],1,7)</f>
        <v>user176</v>
      </c>
    </row>
    <row r="142" spans="1:16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s="16" t="s">
        <v>208</v>
      </c>
      <c r="I142" t="s">
        <v>179</v>
      </c>
      <c r="J142" t="s">
        <v>184</v>
      </c>
      <c r="K142" t="str">
        <f>UPPER(Table5[[#This Row],[Name]])</f>
        <v>CHRIS LEE</v>
      </c>
      <c r="L142" t="str">
        <f>LOWER(Table5[[#This Row],[Name]])</f>
        <v>chris lee</v>
      </c>
      <c r="M142" t="str">
        <f>PROPER(Table5[[#This Row],[Name]])</f>
        <v>Chris Lee</v>
      </c>
      <c r="N142" t="str">
        <f>LEFT(Table5[[#This Row],[Employee ID]],3)</f>
        <v>EMP</v>
      </c>
      <c r="O142" t="str">
        <f>RIGHT(Table5[[#This Row],[Employee ID]],4)</f>
        <v>1140</v>
      </c>
      <c r="P142" t="str">
        <f>MID(Table5[[#This Row],[Email]],1,7)</f>
        <v>user176</v>
      </c>
    </row>
    <row r="143" spans="1:16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s="16" t="s">
        <v>207</v>
      </c>
      <c r="I143" t="s">
        <v>179</v>
      </c>
      <c r="J143" t="s">
        <v>184</v>
      </c>
      <c r="K143" t="str">
        <f>UPPER(Table5[[#This Row],[Name]])</f>
        <v>JANE SMITH</v>
      </c>
      <c r="L143" t="str">
        <f>LOWER(Table5[[#This Row],[Name]])</f>
        <v>jane smith</v>
      </c>
      <c r="M143" t="str">
        <f>PROPER(Table5[[#This Row],[Name]])</f>
        <v>Jane Smith</v>
      </c>
      <c r="N143" t="str">
        <f>LEFT(Table5[[#This Row],[Employee ID]],3)</f>
        <v>EMP</v>
      </c>
      <c r="O143" t="str">
        <f>RIGHT(Table5[[#This Row],[Employee ID]],4)</f>
        <v>1141</v>
      </c>
      <c r="P143" t="str">
        <f>MID(Table5[[#This Row],[Email]],1,7)</f>
        <v>user176</v>
      </c>
    </row>
    <row r="144" spans="1:16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s="16" t="s">
        <v>208</v>
      </c>
      <c r="I144" t="s">
        <v>179</v>
      </c>
      <c r="J144" t="s">
        <v>184</v>
      </c>
      <c r="K144" t="str">
        <f>UPPER(Table5[[#This Row],[Name]])</f>
        <v>ALICE BROWN</v>
      </c>
      <c r="L144" t="str">
        <f>LOWER(Table5[[#This Row],[Name]])</f>
        <v>alice brown</v>
      </c>
      <c r="M144" t="str">
        <f>PROPER(Table5[[#This Row],[Name]])</f>
        <v>Alice Brown</v>
      </c>
      <c r="N144" t="str">
        <f>LEFT(Table5[[#This Row],[Employee ID]],3)</f>
        <v>EMP</v>
      </c>
      <c r="O144" t="str">
        <f>RIGHT(Table5[[#This Row],[Employee ID]],4)</f>
        <v>1142</v>
      </c>
      <c r="P144" t="str">
        <f>MID(Table5[[#This Row],[Email]],1,7)</f>
        <v>user176</v>
      </c>
    </row>
    <row r="145" spans="1:16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H145" s="16" t="s">
        <v>206</v>
      </c>
      <c r="J145" t="s">
        <v>184</v>
      </c>
      <c r="K145" t="str">
        <f>UPPER(Table5[[#This Row],[Name]])</f>
        <v>CHRIS LEE</v>
      </c>
      <c r="L145" t="str">
        <f>LOWER(Table5[[#This Row],[Name]])</f>
        <v>chris lee</v>
      </c>
      <c r="M145" t="str">
        <f>PROPER(Table5[[#This Row],[Name]])</f>
        <v>Chris Lee</v>
      </c>
      <c r="N145" t="str">
        <f>LEFT(Table5[[#This Row],[Employee ID]],3)</f>
        <v>EMP</v>
      </c>
      <c r="O145" t="str">
        <f>RIGHT(Table5[[#This Row],[Employee ID]],4)</f>
        <v>1143</v>
      </c>
      <c r="P145" t="str">
        <f>MID(Table5[[#This Row],[Email]],1,7)</f>
        <v>user176</v>
      </c>
    </row>
    <row r="146" spans="1:16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H146" s="16" t="s">
        <v>205</v>
      </c>
      <c r="J146" t="s">
        <v>184</v>
      </c>
      <c r="K146" t="str">
        <f>UPPER(Table5[[#This Row],[Name]])</f>
        <v>EVE ADAMS</v>
      </c>
      <c r="L146" t="str">
        <f>LOWER(Table5[[#This Row],[Name]])</f>
        <v>eve adams</v>
      </c>
      <c r="M146" t="str">
        <f>PROPER(Table5[[#This Row],[Name]])</f>
        <v>Eve Adams</v>
      </c>
      <c r="N146" t="str">
        <f>LEFT(Table5[[#This Row],[Employee ID]],3)</f>
        <v>EMP</v>
      </c>
      <c r="O146" t="str">
        <f>RIGHT(Table5[[#This Row],[Employee ID]],4)</f>
        <v>1144</v>
      </c>
      <c r="P146" t="str">
        <f>MID(Table5[[#This Row],[Email]],1,7)</f>
        <v>user176</v>
      </c>
    </row>
    <row r="147" spans="1:16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s="16" t="s">
        <v>207</v>
      </c>
      <c r="I147" t="s">
        <v>181</v>
      </c>
      <c r="J147" t="s">
        <v>184</v>
      </c>
      <c r="K147" t="str">
        <f>UPPER(Table5[[#This Row],[Name]])</f>
        <v>SAM WILSON</v>
      </c>
      <c r="L147" t="str">
        <f>LOWER(Table5[[#This Row],[Name]])</f>
        <v>sam wilson</v>
      </c>
      <c r="M147" t="str">
        <f>PROPER(Table5[[#This Row],[Name]])</f>
        <v>Sam Wilson</v>
      </c>
      <c r="N147" t="str">
        <f>LEFT(Table5[[#This Row],[Employee ID]],3)</f>
        <v>EMP</v>
      </c>
      <c r="O147" t="str">
        <f>RIGHT(Table5[[#This Row],[Employee ID]],4)</f>
        <v>1145</v>
      </c>
      <c r="P147" t="str">
        <f>MID(Table5[[#This Row],[Email]],1,7)</f>
        <v>user176</v>
      </c>
    </row>
    <row r="148" spans="1:16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H148" s="16" t="s">
        <v>205</v>
      </c>
      <c r="J148" t="s">
        <v>184</v>
      </c>
      <c r="K148" t="str">
        <f>UPPER(Table5[[#This Row],[Name]])</f>
        <v>JOHN DOE</v>
      </c>
      <c r="L148" t="str">
        <f>LOWER(Table5[[#This Row],[Name]])</f>
        <v>john doe</v>
      </c>
      <c r="M148" t="str">
        <f>PROPER(Table5[[#This Row],[Name]])</f>
        <v>John Doe</v>
      </c>
      <c r="N148" t="str">
        <f>LEFT(Table5[[#This Row],[Employee ID]],3)</f>
        <v>EMP</v>
      </c>
      <c r="O148" t="str">
        <f>RIGHT(Table5[[#This Row],[Employee ID]],4)</f>
        <v>1146</v>
      </c>
      <c r="P148" t="str">
        <f>MID(Table5[[#This Row],[Email]],1,7)</f>
        <v>user176</v>
      </c>
    </row>
    <row r="149" spans="1:16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H149" s="16" t="s">
        <v>205</v>
      </c>
      <c r="J149" t="s">
        <v>184</v>
      </c>
      <c r="K149" t="str">
        <f>UPPER(Table5[[#This Row],[Name]])</f>
        <v>BOB JOHNSON</v>
      </c>
      <c r="L149" t="str">
        <f>LOWER(Table5[[#This Row],[Name]])</f>
        <v>bob johnson</v>
      </c>
      <c r="M149" t="str">
        <f>PROPER(Table5[[#This Row],[Name]])</f>
        <v>Bob Johnson</v>
      </c>
      <c r="N149" t="str">
        <f>LEFT(Table5[[#This Row],[Employee ID]],3)</f>
        <v>EMP</v>
      </c>
      <c r="O149" t="str">
        <f>RIGHT(Table5[[#This Row],[Employee ID]],4)</f>
        <v>1147</v>
      </c>
      <c r="P149" t="str">
        <f>MID(Table5[[#This Row],[Email]],1,7)</f>
        <v>user176</v>
      </c>
    </row>
    <row r="150" spans="1:16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s="16" t="s">
        <v>205</v>
      </c>
      <c r="I150" t="s">
        <v>179</v>
      </c>
      <c r="J150" t="s">
        <v>184</v>
      </c>
      <c r="K150" t="str">
        <f>UPPER(Table5[[#This Row],[Name]])</f>
        <v>BOB JOHNSON</v>
      </c>
      <c r="L150" t="str">
        <f>LOWER(Table5[[#This Row],[Name]])</f>
        <v>bob johnson</v>
      </c>
      <c r="M150" t="str">
        <f>PROPER(Table5[[#This Row],[Name]])</f>
        <v>Bob Johnson</v>
      </c>
      <c r="N150" t="str">
        <f>LEFT(Table5[[#This Row],[Employee ID]],3)</f>
        <v>EMP</v>
      </c>
      <c r="O150" t="str">
        <f>RIGHT(Table5[[#This Row],[Employee ID]],4)</f>
        <v>1148</v>
      </c>
      <c r="P150" t="str">
        <f>MID(Table5[[#This Row],[Email]],1,7)</f>
        <v>user176</v>
      </c>
    </row>
    <row r="151" spans="1:16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s="16" t="s">
        <v>207</v>
      </c>
      <c r="I151" t="s">
        <v>179</v>
      </c>
      <c r="J151" t="s">
        <v>184</v>
      </c>
      <c r="K151" t="str">
        <f>UPPER(Table5[[#This Row],[Name]])</f>
        <v>SAM WILSON</v>
      </c>
      <c r="L151" t="str">
        <f>LOWER(Table5[[#This Row],[Name]])</f>
        <v>sam wilson</v>
      </c>
      <c r="M151" t="str">
        <f>PROPER(Table5[[#This Row],[Name]])</f>
        <v>Sam Wilson</v>
      </c>
      <c r="N151" t="str">
        <f>LEFT(Table5[[#This Row],[Employee ID]],3)</f>
        <v>EMP</v>
      </c>
      <c r="O151" t="str">
        <f>RIGHT(Table5[[#This Row],[Employee ID]],4)</f>
        <v>1149</v>
      </c>
      <c r="P151" t="str">
        <f>MID(Table5[[#This Row],[Email]],1,7)</f>
        <v>user176</v>
      </c>
    </row>
    <row r="152" spans="1:16" x14ac:dyDescent="0.3">
      <c r="G152" s="17"/>
      <c r="H152" s="16" t="s">
        <v>206</v>
      </c>
      <c r="K152" t="str">
        <f>UPPER(Table5[[#This Row],[Name]])</f>
        <v/>
      </c>
      <c r="L152" t="str">
        <f>LOWER(Table5[[#This Row],[Name]])</f>
        <v/>
      </c>
      <c r="M152" t="str">
        <f>PROPER(Table5[[#This Row],[Name]])</f>
        <v/>
      </c>
      <c r="N152" t="str">
        <f>LEFT(Table5[[#This Row],[Employee ID]],3)</f>
        <v/>
      </c>
      <c r="O152" t="str">
        <f>RIGHT(Table5[[#This Row],[Employee ID]],4)</f>
        <v/>
      </c>
      <c r="P152" t="str">
        <f>MID(Table5[[#This Row],[Email]],1,7)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Task1</vt:lpstr>
      <vt:lpstr>Task2</vt:lpstr>
      <vt:lpstr>Task3</vt:lpstr>
      <vt:lpstr>Sheet1</vt:lpstr>
      <vt:lpstr>Task4</vt:lpstr>
      <vt:lpstr>Task5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Masthabanu S</dc:creator>
  <cp:lastModifiedBy>Masthabanu S</cp:lastModifiedBy>
  <dcterms:created xsi:type="dcterms:W3CDTF">2025-05-31T18:11:07Z</dcterms:created>
  <dcterms:modified xsi:type="dcterms:W3CDTF">2025-12-25T06:51:33Z</dcterms:modified>
</cp:coreProperties>
</file>