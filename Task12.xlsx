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ing Challenge\Excel\"/>
    </mc:Choice>
  </mc:AlternateContent>
  <xr:revisionPtr revIDLastSave="0" documentId="13_ncr:1_{0B06A97C-3FAD-48CC-9951-C43512DA98F5}" xr6:coauthVersionLast="47" xr6:coauthVersionMax="47" xr10:uidLastSave="{00000000-0000-0000-0000-000000000000}"/>
  <bookViews>
    <workbookView xWindow="-108" yWindow="-108" windowWidth="23256" windowHeight="12456" activeTab="1" xr2:uid="{34143AFC-B8DF-47EE-88FE-5D8C57249F92}"/>
  </bookViews>
  <sheets>
    <sheet name="Sheet1" sheetId="1" r:id="rId1"/>
    <sheet name="Cleaned" sheetId="2" r:id="rId2"/>
  </sheets>
  <definedNames>
    <definedName name="_xlnm._FilterDatabase" localSheetId="1" hidden="1">Cleaned!$K$1:$N$142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2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28" i="2"/>
  <c r="K29" i="2"/>
  <c r="K30" i="2"/>
  <c r="K31" i="2"/>
  <c r="K32" i="2"/>
  <c r="K33" i="2"/>
  <c r="K34" i="2"/>
  <c r="K35" i="2"/>
  <c r="K36" i="2"/>
  <c r="K37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" i="2"/>
</calcChain>
</file>

<file path=xl/sharedStrings.xml><?xml version="1.0" encoding="utf-8"?>
<sst xmlns="http://schemas.openxmlformats.org/spreadsheetml/2006/main" count="1674" uniqueCount="288">
  <si>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</si>
  <si>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</si>
  <si>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</si>
  <si>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</si>
  <si>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</si>
  <si>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</si>
  <si>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</si>
  <si>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</si>
  <si>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</si>
  <si>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</si>
  <si>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</si>
  <si>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</si>
  <si>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</si>
  <si>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</si>
  <si>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</si>
  <si>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</si>
  <si>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</si>
  <si>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</si>
  <si>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</si>
  <si>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</si>
  <si>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</si>
  <si>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</si>
  <si>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</si>
  <si>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</si>
  <si>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</si>
  <si>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</si>
  <si>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</si>
  <si>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</si>
  <si>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</si>
  <si>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</si>
  <si>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</si>
  <si>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</si>
  <si>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</si>
  <si>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</si>
  <si>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</si>
  <si>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</si>
  <si>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</si>
  <si>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</si>
  <si>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</si>
  <si>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</si>
  <si>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</si>
  <si>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</si>
  <si>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</si>
  <si>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</si>
  <si>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</si>
  <si>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</si>
  <si>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</si>
  <si>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</si>
  <si>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</si>
  <si>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</si>
  <si>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</si>
  <si>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</si>
  <si>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</si>
  <si>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</si>
  <si>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</si>
  <si>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</si>
  <si>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</si>
  <si>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</si>
  <si>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</si>
  <si>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</si>
  <si>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</si>
  <si>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</si>
  <si>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</si>
  <si>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</si>
  <si>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</si>
  <si>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</si>
  <si>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</si>
  <si>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</si>
  <si>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</si>
  <si>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</si>
  <si>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</si>
  <si>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</si>
  <si>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</si>
  <si>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</si>
  <si>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</si>
  <si>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</si>
  <si>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</si>
  <si>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</si>
  <si>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</si>
  <si>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</si>
  <si>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</si>
  <si>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</si>
  <si>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</si>
  <si>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</si>
  <si>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</si>
  <si>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</si>
  <si>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</si>
  <si>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</si>
  <si>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</si>
  <si>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</si>
  <si>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</si>
  <si>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</si>
  <si>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</si>
  <si>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</si>
  <si>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</si>
  <si>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</si>
  <si>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</si>
  <si>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</si>
  <si>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</si>
  <si>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</si>
  <si>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</si>
  <si>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</si>
  <si>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</si>
  <si>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</si>
  <si>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</si>
  <si>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</si>
  <si>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</si>
  <si>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</si>
  <si>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</si>
  <si>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</si>
  <si>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</si>
  <si>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</si>
  <si>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</si>
  <si>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</si>
  <si>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</si>
  <si>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</si>
  <si>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</si>
  <si>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</si>
  <si>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</si>
  <si>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</si>
  <si>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</si>
  <si>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</si>
  <si>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</si>
  <si>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</si>
  <si>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</si>
  <si>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</si>
  <si>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</si>
  <si>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</si>
  <si>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</si>
  <si>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</si>
  <si>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</si>
  <si>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</si>
  <si>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</si>
  <si>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</si>
  <si>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</si>
  <si>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</si>
  <si>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</si>
  <si>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</si>
  <si>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</si>
  <si>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</si>
  <si>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</si>
  <si>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</si>
  <si>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</si>
  <si>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</si>
  <si>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</si>
  <si>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</si>
  <si>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</si>
  <si>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</si>
  <si>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</si>
  <si>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</si>
  <si>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</si>
  <si>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</si>
  <si>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</si>
  <si>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</si>
  <si>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</si>
  <si>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</si>
  <si>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</si>
  <si>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</si>
  <si>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</si>
  <si>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</si>
  <si>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</si>
  <si>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</si>
  <si>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</si>
  <si>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</si>
  <si>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</si>
  <si>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</si>
  <si>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</si>
  <si>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</si>
  <si>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</si>
  <si>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</si>
  <si>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</si>
  <si>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</si>
  <si>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</si>
  <si>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</si>
  <si>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</si>
  <si>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</si>
  <si>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</si>
  <si>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</si>
  <si>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</si>
  <si>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</si>
  <si>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</si>
  <si>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</si>
  <si>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</si>
  <si>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</si>
  <si>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</si>
  <si>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</si>
  <si>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</si>
  <si>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</si>
  <si>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</si>
  <si>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</si>
  <si>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</si>
  <si>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</si>
  <si>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</si>
  <si>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</si>
  <si>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</si>
  <si>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</si>
  <si>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</si>
  <si>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</si>
  <si>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</si>
  <si>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</si>
  <si>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</si>
  <si>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</si>
  <si>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</si>
  <si>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</si>
  <si>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</si>
  <si>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</si>
  <si>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</si>
  <si>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</si>
  <si>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</si>
  <si>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</si>
  <si>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</si>
  <si>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</si>
  <si>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</si>
  <si>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</si>
  <si>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</si>
  <si>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</si>
  <si>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</si>
  <si>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</si>
  <si>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</si>
  <si>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</si>
  <si>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</si>
  <si>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</si>
  <si>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</si>
  <si>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</si>
  <si>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</si>
  <si>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</si>
  <si>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</si>
  <si>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</si>
  <si>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</si>
  <si>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</si>
  <si>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</si>
  <si>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</si>
  <si>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</si>
  <si>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</si>
  <si>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</si>
  <si>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</si>
  <si>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</si>
  <si>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</si>
  <si>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</si>
  <si>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</si>
  <si>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</si>
  <si>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</si>
  <si>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</si>
  <si>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</si>
  <si>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</si>
  <si>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</si>
  <si>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</si>
  <si>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</si>
  <si>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</si>
  <si>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</si>
  <si>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</si>
  <si>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</si>
  <si>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</si>
  <si>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</si>
  <si>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</si>
  <si>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</si>
  <si>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</si>
  <si>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</si>
  <si>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</si>
  <si>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</si>
  <si>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</si>
  <si>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</si>
  <si>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</si>
  <si>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</si>
  <si>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</si>
  <si>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</si>
  <si>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</si>
  <si>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</si>
  <si>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</si>
  <si>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</si>
  <si>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</si>
  <si>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</si>
  <si>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</si>
  <si>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</si>
  <si>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</si>
  <si>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</si>
  <si>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</si>
  <si>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</si>
  <si>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</si>
  <si>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</si>
  <si>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</si>
  <si>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Employee Id</t>
  </si>
  <si>
    <t>Date Of Joining</t>
  </si>
  <si>
    <t>Month_of_Joining</t>
  </si>
  <si>
    <t>Year_of_Joining</t>
  </si>
  <si>
    <t>Weekday</t>
  </si>
  <si>
    <t>Day</t>
  </si>
  <si>
    <t>Total_Experience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</si>
</sst>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&quot;₹&quot;\ #,##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theme="7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/>
    <xf numFmtId="14" fontId="0" fillId="0" borderId="0" xfId="0" applyNumberFormat="1"/>
    <xf numFmtId="1" fontId="0" fillId="0" borderId="0" xfId="0" applyNumberFormat="1"/>
    <xf numFmtId="0" fontId="0" fillId="3" borderId="0" xfId="0" applyFill="1"/>
    <xf numFmtId="1" fontId="0" fillId="3" borderId="2" xfId="0" applyNumberFormat="1" applyFill="1" applyBorder="1"/>
    <xf numFmtId="0" fontId="0" fillId="3" borderId="2" xfId="0" applyFill="1" applyBorder="1"/>
    <xf numFmtId="1" fontId="0" fillId="4" borderId="2" xfId="0" applyNumberFormat="1" applyFill="1" applyBorder="1"/>
    <xf numFmtId="0" fontId="0" fillId="4" borderId="2" xfId="0" applyFill="1" applyBorder="1"/>
    <xf numFmtId="1" fontId="0" fillId="3" borderId="0" xfId="0" applyNumberFormat="1" applyFill="1"/>
    <xf numFmtId="0" fontId="2" fillId="2" borderId="0" xfId="0" applyFont="1" applyFill="1" applyAlignment="1">
      <alignment horizontal="center"/>
    </xf>
    <xf numFmtId="0" fontId="3" fillId="2" borderId="2" xfId="0" applyFont="1" applyFill="1" applyBorder="1" applyAlignment="1">
      <alignment horizontal="center"/>
    </xf>
  </cellXfs>
  <cellStyles count="1">
    <cellStyle name="Normal" xfId="0" builtinId="0"/>
  </cellStyles>
  <dxfs count="5">
    <dxf>
      <numFmt numFmtId="0" formatCode="General"/>
      <fill>
        <patternFill patternType="solid">
          <bgColor theme="3" tint="0.89999084444715716"/>
        </patternFill>
      </fill>
    </dxf>
    <dxf>
      <numFmt numFmtId="1" formatCode="0"/>
    </dxf>
    <dxf>
      <numFmt numFmtId="19" formatCode="dd/mm/yyyy"/>
    </dxf>
    <dxf>
      <numFmt numFmtId="165" formatCode="&quot;₹&quot;\ #,##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E43161-5A36-40C7-BD1B-4BC199D5E9CB}" name="Table1" displayName="Table1" ref="A1:J142" totalsRowShown="0" headerRowDxfId="4">
  <autoFilter ref="A1:J142" xr:uid="{35E43161-5A36-40C7-BD1B-4BC199D5E9CB}"/>
  <tableColumns count="10">
    <tableColumn id="1" xr3:uid="{7C88855E-5BF8-4478-B388-B622F3512C9E}" name="Employee Id"/>
    <tableColumn id="2" xr3:uid="{3FC4DC3C-4225-4CA5-AFE4-1399494DC730}" name="Name"/>
    <tableColumn id="3" xr3:uid="{58AACC3B-2B5B-42F7-A7EB-951951C6A7A6}" name="Department"/>
    <tableColumn id="4" xr3:uid="{10BA51F6-6075-4374-BFF5-F362247A3E99}" name="Country"/>
    <tableColumn id="5" xr3:uid="{AE8041E7-FE6E-4ADA-A883-FB7B0787EF75}" name="Salary" dataDxfId="3"/>
    <tableColumn id="6" xr3:uid="{086F2411-2AE2-4D0F-8B94-540C53D6E2FF}" name="Date Of Joining" dataDxfId="2"/>
    <tableColumn id="7" xr3:uid="{639C57D3-0376-4F13-A533-D97FFE738B8A}" name="Performance Rating" dataDxfId="1"/>
    <tableColumn id="8" xr3:uid="{E30DC5BC-D30B-4F6F-B819-DF91B7FEACE3}" name="Gender"/>
    <tableColumn id="9" xr3:uid="{FB139742-6F32-42A1-8036-295A8BCFCEB0}" name="Email"/>
    <tableColumn id="11" xr3:uid="{BD900F14-5623-436F-89F3-F9EDADFD1090}" name="Month_of_Joining" dataDxfId="0">
      <calculatedColumnFormula>MONTH(F2)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452C1-D1B7-412D-AA5E-26FE0F68E209}">
  <dimension ref="A1:I151"/>
  <sheetViews>
    <sheetView workbookViewId="0">
      <selection activeCell="B3" sqref="B3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10</v>
      </c>
      <c r="D2" t="s">
        <v>11</v>
      </c>
      <c r="E2" t="s">
        <v>12</v>
      </c>
      <c r="G2">
        <v>2</v>
      </c>
      <c r="H2" t="s">
        <v>13</v>
      </c>
      <c r="I2" t="s">
        <v>14</v>
      </c>
    </row>
    <row r="3" spans="1:9" x14ac:dyDescent="0.3">
      <c r="A3" t="s">
        <v>15</v>
      </c>
      <c r="B3" t="s">
        <v>16</v>
      </c>
      <c r="C3" t="s">
        <v>17</v>
      </c>
      <c r="D3" t="s">
        <v>18</v>
      </c>
      <c r="E3">
        <v>54255</v>
      </c>
      <c r="F3" s="2">
        <v>42015</v>
      </c>
      <c r="G3">
        <v>1</v>
      </c>
      <c r="H3" t="s">
        <v>19</v>
      </c>
      <c r="I3" t="s">
        <v>20</v>
      </c>
    </row>
    <row r="4" spans="1:9" x14ac:dyDescent="0.3">
      <c r="A4" t="s">
        <v>21</v>
      </c>
      <c r="B4" t="s">
        <v>22</v>
      </c>
      <c r="C4" t="s">
        <v>10</v>
      </c>
      <c r="D4" t="s">
        <v>18</v>
      </c>
      <c r="E4">
        <v>63184</v>
      </c>
      <c r="F4" s="2">
        <v>42022</v>
      </c>
      <c r="G4">
        <v>2</v>
      </c>
      <c r="I4" t="s">
        <v>23</v>
      </c>
    </row>
    <row r="5" spans="1:9" x14ac:dyDescent="0.3">
      <c r="A5" t="s">
        <v>24</v>
      </c>
      <c r="B5" t="s">
        <v>25</v>
      </c>
      <c r="C5" t="s">
        <v>26</v>
      </c>
      <c r="D5" t="s">
        <v>27</v>
      </c>
      <c r="E5">
        <v>94406</v>
      </c>
      <c r="F5" s="2">
        <v>42029</v>
      </c>
      <c r="G5">
        <v>1</v>
      </c>
      <c r="H5" t="s">
        <v>28</v>
      </c>
      <c r="I5" t="s">
        <v>29</v>
      </c>
    </row>
    <row r="6" spans="1:9" x14ac:dyDescent="0.3">
      <c r="A6" t="s">
        <v>30</v>
      </c>
      <c r="B6" t="s">
        <v>31</v>
      </c>
      <c r="C6" t="s">
        <v>26</v>
      </c>
      <c r="D6" t="s">
        <v>18</v>
      </c>
      <c r="E6">
        <v>64120</v>
      </c>
      <c r="F6" s="2">
        <v>42036</v>
      </c>
      <c r="G6">
        <v>1</v>
      </c>
      <c r="H6" t="s">
        <v>28</v>
      </c>
      <c r="I6" t="s">
        <v>32</v>
      </c>
    </row>
    <row r="7" spans="1:9" x14ac:dyDescent="0.3">
      <c r="A7" t="s">
        <v>33</v>
      </c>
      <c r="B7" t="s">
        <v>22</v>
      </c>
      <c r="C7" t="s">
        <v>34</v>
      </c>
      <c r="D7" t="s">
        <v>35</v>
      </c>
      <c r="E7">
        <v>78421</v>
      </c>
      <c r="F7" s="2">
        <v>42043</v>
      </c>
      <c r="G7">
        <v>2</v>
      </c>
      <c r="H7" t="s">
        <v>36</v>
      </c>
      <c r="I7" t="s">
        <v>37</v>
      </c>
    </row>
    <row r="8" spans="1:9" x14ac:dyDescent="0.3">
      <c r="A8" t="s">
        <v>38</v>
      </c>
      <c r="B8" t="s">
        <v>39</v>
      </c>
      <c r="C8" t="s">
        <v>26</v>
      </c>
      <c r="E8">
        <v>67721</v>
      </c>
      <c r="F8" s="2">
        <v>42050</v>
      </c>
      <c r="H8" t="s">
        <v>28</v>
      </c>
      <c r="I8" t="s">
        <v>29</v>
      </c>
    </row>
    <row r="9" spans="1:9" x14ac:dyDescent="0.3">
      <c r="A9" t="s">
        <v>40</v>
      </c>
      <c r="B9" t="s">
        <v>41</v>
      </c>
      <c r="C9" t="s">
        <v>42</v>
      </c>
      <c r="E9">
        <v>35364</v>
      </c>
      <c r="F9" s="2">
        <v>42057</v>
      </c>
      <c r="G9">
        <v>2</v>
      </c>
      <c r="H9" t="s">
        <v>19</v>
      </c>
      <c r="I9" t="s">
        <v>43</v>
      </c>
    </row>
    <row r="10" spans="1:9" x14ac:dyDescent="0.3">
      <c r="A10" t="s">
        <v>44</v>
      </c>
      <c r="B10" t="s">
        <v>22</v>
      </c>
      <c r="C10" t="s">
        <v>34</v>
      </c>
      <c r="D10" t="s">
        <v>18</v>
      </c>
      <c r="E10">
        <v>97881</v>
      </c>
      <c r="F10" s="2">
        <v>42064</v>
      </c>
      <c r="H10" t="s">
        <v>36</v>
      </c>
      <c r="I10" t="s">
        <v>45</v>
      </c>
    </row>
    <row r="11" spans="1:9" x14ac:dyDescent="0.3">
      <c r="A11" t="s">
        <v>46</v>
      </c>
      <c r="B11" t="s">
        <v>41</v>
      </c>
      <c r="C11" t="s">
        <v>17</v>
      </c>
      <c r="D11" t="s">
        <v>47</v>
      </c>
      <c r="E11">
        <v>91846</v>
      </c>
      <c r="F11" s="2">
        <v>42071</v>
      </c>
      <c r="H11" t="s">
        <v>28</v>
      </c>
      <c r="I11" t="s">
        <v>48</v>
      </c>
    </row>
    <row r="12" spans="1:9" x14ac:dyDescent="0.3">
      <c r="A12" t="s">
        <v>49</v>
      </c>
      <c r="B12" t="s">
        <v>39</v>
      </c>
      <c r="C12" t="s">
        <v>10</v>
      </c>
      <c r="D12" t="s">
        <v>47</v>
      </c>
      <c r="E12">
        <v>64247</v>
      </c>
      <c r="F12" s="2">
        <v>42078</v>
      </c>
      <c r="G12">
        <v>1</v>
      </c>
      <c r="H12" t="s">
        <v>36</v>
      </c>
      <c r="I12" t="s">
        <v>50</v>
      </c>
    </row>
    <row r="13" spans="1:9" x14ac:dyDescent="0.3">
      <c r="A13" t="s">
        <v>51</v>
      </c>
      <c r="B13" t="s">
        <v>39</v>
      </c>
      <c r="C13" t="s">
        <v>34</v>
      </c>
      <c r="D13" t="s">
        <v>27</v>
      </c>
      <c r="E13">
        <v>91180</v>
      </c>
      <c r="F13" s="2">
        <v>42085</v>
      </c>
      <c r="G13">
        <v>5</v>
      </c>
      <c r="H13" t="s">
        <v>28</v>
      </c>
      <c r="I13" t="s">
        <v>52</v>
      </c>
    </row>
    <row r="14" spans="1:9" x14ac:dyDescent="0.3">
      <c r="A14" t="s">
        <v>53</v>
      </c>
      <c r="B14" t="s">
        <v>54</v>
      </c>
      <c r="C14" t="s">
        <v>26</v>
      </c>
      <c r="E14">
        <v>96418</v>
      </c>
      <c r="F14" s="2">
        <v>42092</v>
      </c>
      <c r="G14">
        <v>5</v>
      </c>
      <c r="H14" t="s">
        <v>28</v>
      </c>
      <c r="I14" t="s">
        <v>20</v>
      </c>
    </row>
    <row r="15" spans="1:9" x14ac:dyDescent="0.3">
      <c r="A15" t="s">
        <v>55</v>
      </c>
      <c r="B15" t="s">
        <v>39</v>
      </c>
      <c r="D15" t="s">
        <v>35</v>
      </c>
      <c r="E15">
        <v>62158</v>
      </c>
      <c r="F15" s="2">
        <v>42099</v>
      </c>
      <c r="G15">
        <v>4</v>
      </c>
      <c r="I15" t="s">
        <v>56</v>
      </c>
    </row>
    <row r="16" spans="1:9" x14ac:dyDescent="0.3">
      <c r="A16" t="s">
        <v>57</v>
      </c>
      <c r="B16" t="s">
        <v>31</v>
      </c>
      <c r="C16" t="s">
        <v>17</v>
      </c>
      <c r="E16">
        <v>59894</v>
      </c>
      <c r="F16" s="2">
        <v>42106</v>
      </c>
      <c r="G16">
        <v>2</v>
      </c>
      <c r="H16" t="s">
        <v>28</v>
      </c>
      <c r="I16" t="s">
        <v>58</v>
      </c>
    </row>
    <row r="17" spans="1:9" x14ac:dyDescent="0.3">
      <c r="A17" t="s">
        <v>59</v>
      </c>
      <c r="C17" t="s">
        <v>34</v>
      </c>
      <c r="D17" t="s">
        <v>35</v>
      </c>
      <c r="E17">
        <v>92443</v>
      </c>
      <c r="F17" s="2">
        <v>42113</v>
      </c>
      <c r="G17">
        <v>3</v>
      </c>
      <c r="H17" t="s">
        <v>19</v>
      </c>
      <c r="I17" t="s">
        <v>60</v>
      </c>
    </row>
    <row r="18" spans="1:9" x14ac:dyDescent="0.3">
      <c r="A18" t="s">
        <v>61</v>
      </c>
      <c r="B18" t="s">
        <v>54</v>
      </c>
      <c r="D18" t="s">
        <v>18</v>
      </c>
      <c r="E18">
        <v>90271</v>
      </c>
      <c r="F18" s="2">
        <v>42120</v>
      </c>
      <c r="I18" t="s">
        <v>62</v>
      </c>
    </row>
    <row r="19" spans="1:9" x14ac:dyDescent="0.3">
      <c r="A19" t="s">
        <v>63</v>
      </c>
      <c r="B19" t="s">
        <v>31</v>
      </c>
      <c r="C19" t="s">
        <v>10</v>
      </c>
      <c r="D19" t="s">
        <v>64</v>
      </c>
      <c r="E19">
        <v>41341</v>
      </c>
      <c r="F19" s="2">
        <v>42127</v>
      </c>
      <c r="G19">
        <v>1</v>
      </c>
      <c r="H19" t="s">
        <v>19</v>
      </c>
      <c r="I19" t="s">
        <v>65</v>
      </c>
    </row>
    <row r="20" spans="1:9" x14ac:dyDescent="0.3">
      <c r="A20" t="s">
        <v>66</v>
      </c>
      <c r="B20" t="s">
        <v>22</v>
      </c>
      <c r="C20" t="s">
        <v>10</v>
      </c>
      <c r="D20" t="s">
        <v>47</v>
      </c>
      <c r="E20">
        <v>73602</v>
      </c>
      <c r="F20" s="2">
        <v>42134</v>
      </c>
      <c r="I20" t="s">
        <v>67</v>
      </c>
    </row>
    <row r="21" spans="1:9" x14ac:dyDescent="0.3">
      <c r="A21" t="s">
        <v>68</v>
      </c>
      <c r="B21" t="s">
        <v>16</v>
      </c>
      <c r="D21" t="s">
        <v>35</v>
      </c>
      <c r="E21">
        <v>67531</v>
      </c>
      <c r="F21" s="2">
        <v>42141</v>
      </c>
      <c r="G21">
        <v>5</v>
      </c>
      <c r="H21" t="s">
        <v>36</v>
      </c>
      <c r="I21" t="s">
        <v>69</v>
      </c>
    </row>
    <row r="22" spans="1:9" x14ac:dyDescent="0.3">
      <c r="A22" t="s">
        <v>70</v>
      </c>
      <c r="B22" t="s">
        <v>31</v>
      </c>
      <c r="C22" t="s">
        <v>17</v>
      </c>
      <c r="D22" t="s">
        <v>27</v>
      </c>
      <c r="E22" t="s">
        <v>12</v>
      </c>
      <c r="F22" s="2">
        <v>42148</v>
      </c>
      <c r="G22">
        <v>2</v>
      </c>
      <c r="H22" t="s">
        <v>19</v>
      </c>
      <c r="I22" t="s">
        <v>71</v>
      </c>
    </row>
    <row r="23" spans="1:9" x14ac:dyDescent="0.3">
      <c r="A23" t="s">
        <v>72</v>
      </c>
      <c r="B23" t="s">
        <v>31</v>
      </c>
      <c r="C23" t="s">
        <v>17</v>
      </c>
      <c r="E23">
        <v>98922</v>
      </c>
      <c r="F23" s="2">
        <v>42155</v>
      </c>
      <c r="G23">
        <v>4</v>
      </c>
      <c r="I23" t="s">
        <v>73</v>
      </c>
    </row>
    <row r="24" spans="1:9" x14ac:dyDescent="0.3">
      <c r="A24" t="s">
        <v>74</v>
      </c>
      <c r="B24" t="s">
        <v>16</v>
      </c>
      <c r="C24" t="s">
        <v>10</v>
      </c>
      <c r="D24" t="s">
        <v>35</v>
      </c>
      <c r="E24">
        <v>38333</v>
      </c>
      <c r="F24" s="2">
        <v>42162</v>
      </c>
      <c r="G24">
        <v>5</v>
      </c>
      <c r="I24" t="s">
        <v>75</v>
      </c>
    </row>
    <row r="25" spans="1:9" x14ac:dyDescent="0.3">
      <c r="A25" t="s">
        <v>76</v>
      </c>
      <c r="B25" t="s">
        <v>22</v>
      </c>
      <c r="C25" t="s">
        <v>42</v>
      </c>
      <c r="D25" t="s">
        <v>47</v>
      </c>
      <c r="E25">
        <v>36515</v>
      </c>
      <c r="F25" s="2">
        <v>42169</v>
      </c>
      <c r="G25">
        <v>3</v>
      </c>
      <c r="H25" t="s">
        <v>28</v>
      </c>
      <c r="I25" t="s">
        <v>77</v>
      </c>
    </row>
    <row r="26" spans="1:9" x14ac:dyDescent="0.3">
      <c r="A26" t="s">
        <v>78</v>
      </c>
      <c r="B26" t="s">
        <v>39</v>
      </c>
      <c r="C26" t="s">
        <v>10</v>
      </c>
      <c r="E26">
        <v>91005</v>
      </c>
      <c r="F26" s="2">
        <v>42176</v>
      </c>
      <c r="G26">
        <v>1</v>
      </c>
      <c r="H26" t="s">
        <v>19</v>
      </c>
      <c r="I26" t="s">
        <v>79</v>
      </c>
    </row>
    <row r="27" spans="1:9" x14ac:dyDescent="0.3">
      <c r="A27" t="s">
        <v>80</v>
      </c>
      <c r="B27" t="s">
        <v>41</v>
      </c>
      <c r="D27" t="s">
        <v>11</v>
      </c>
      <c r="E27">
        <v>52272</v>
      </c>
      <c r="F27" s="2">
        <v>42183</v>
      </c>
      <c r="G27">
        <v>3</v>
      </c>
      <c r="I27" t="s">
        <v>81</v>
      </c>
    </row>
    <row r="28" spans="1:9" x14ac:dyDescent="0.3">
      <c r="A28" t="s">
        <v>82</v>
      </c>
      <c r="B28" t="s">
        <v>16</v>
      </c>
      <c r="C28" t="s">
        <v>26</v>
      </c>
      <c r="D28" t="s">
        <v>18</v>
      </c>
      <c r="E28">
        <v>76518</v>
      </c>
      <c r="F28" s="2">
        <v>42190</v>
      </c>
      <c r="G28">
        <v>2</v>
      </c>
      <c r="H28" t="s">
        <v>36</v>
      </c>
      <c r="I28" t="s">
        <v>83</v>
      </c>
    </row>
    <row r="29" spans="1:9" x14ac:dyDescent="0.3">
      <c r="A29" t="s">
        <v>84</v>
      </c>
      <c r="B29" t="s">
        <v>22</v>
      </c>
      <c r="C29" t="s">
        <v>34</v>
      </c>
      <c r="D29" t="s">
        <v>47</v>
      </c>
      <c r="E29">
        <v>41448</v>
      </c>
      <c r="F29" s="2">
        <v>42197</v>
      </c>
      <c r="G29">
        <v>3</v>
      </c>
      <c r="H29" t="s">
        <v>19</v>
      </c>
      <c r="I29" t="s">
        <v>85</v>
      </c>
    </row>
    <row r="30" spans="1:9" x14ac:dyDescent="0.3">
      <c r="A30" t="s">
        <v>86</v>
      </c>
      <c r="B30" t="s">
        <v>25</v>
      </c>
      <c r="C30" t="s">
        <v>17</v>
      </c>
      <c r="D30" t="s">
        <v>47</v>
      </c>
      <c r="E30">
        <v>49282</v>
      </c>
      <c r="F30" s="2">
        <v>42204</v>
      </c>
      <c r="G30">
        <v>2</v>
      </c>
      <c r="H30" t="s">
        <v>36</v>
      </c>
      <c r="I30" t="s">
        <v>87</v>
      </c>
    </row>
    <row r="31" spans="1:9" x14ac:dyDescent="0.3">
      <c r="A31" t="s">
        <v>88</v>
      </c>
      <c r="B31" t="s">
        <v>54</v>
      </c>
      <c r="C31" t="s">
        <v>42</v>
      </c>
      <c r="D31" t="s">
        <v>47</v>
      </c>
      <c r="E31">
        <v>92959</v>
      </c>
      <c r="F31" s="2">
        <v>42211</v>
      </c>
      <c r="G31">
        <v>5</v>
      </c>
      <c r="I31" t="s">
        <v>89</v>
      </c>
    </row>
    <row r="32" spans="1:9" x14ac:dyDescent="0.3">
      <c r="A32" t="s">
        <v>90</v>
      </c>
      <c r="C32" t="s">
        <v>42</v>
      </c>
      <c r="E32">
        <v>92259</v>
      </c>
      <c r="G32">
        <v>1</v>
      </c>
      <c r="H32" t="s">
        <v>13</v>
      </c>
      <c r="I32" t="s">
        <v>91</v>
      </c>
    </row>
    <row r="33" spans="1:9" x14ac:dyDescent="0.3">
      <c r="A33" t="s">
        <v>92</v>
      </c>
      <c r="B33" t="s">
        <v>16</v>
      </c>
      <c r="C33" t="s">
        <v>17</v>
      </c>
      <c r="D33" t="s">
        <v>18</v>
      </c>
      <c r="E33">
        <v>92299</v>
      </c>
      <c r="F33" s="2">
        <v>42225</v>
      </c>
      <c r="G33">
        <v>3</v>
      </c>
      <c r="H33" t="s">
        <v>28</v>
      </c>
      <c r="I33" t="s">
        <v>93</v>
      </c>
    </row>
    <row r="34" spans="1:9" x14ac:dyDescent="0.3">
      <c r="A34" t="s">
        <v>94</v>
      </c>
      <c r="B34" t="s">
        <v>39</v>
      </c>
      <c r="C34" t="s">
        <v>17</v>
      </c>
      <c r="E34">
        <v>95586</v>
      </c>
      <c r="F34" s="2">
        <v>42232</v>
      </c>
      <c r="G34">
        <v>3</v>
      </c>
      <c r="H34" t="s">
        <v>19</v>
      </c>
      <c r="I34" t="s">
        <v>95</v>
      </c>
    </row>
    <row r="35" spans="1:9" x14ac:dyDescent="0.3">
      <c r="A35" t="s">
        <v>96</v>
      </c>
      <c r="B35" t="s">
        <v>41</v>
      </c>
      <c r="D35" t="s">
        <v>27</v>
      </c>
      <c r="E35">
        <v>95367</v>
      </c>
      <c r="F35" s="2">
        <v>42239</v>
      </c>
      <c r="H35" t="s">
        <v>28</v>
      </c>
      <c r="I35" t="s">
        <v>97</v>
      </c>
    </row>
    <row r="36" spans="1:9" x14ac:dyDescent="0.3">
      <c r="A36" t="s">
        <v>98</v>
      </c>
      <c r="B36" t="s">
        <v>25</v>
      </c>
      <c r="C36" t="s">
        <v>26</v>
      </c>
      <c r="D36" t="s">
        <v>64</v>
      </c>
      <c r="E36">
        <v>79549</v>
      </c>
      <c r="F36" s="2">
        <v>42246</v>
      </c>
      <c r="G36">
        <v>3</v>
      </c>
      <c r="I36" t="s">
        <v>99</v>
      </c>
    </row>
    <row r="37" spans="1:9" x14ac:dyDescent="0.3">
      <c r="A37" t="s">
        <v>100</v>
      </c>
      <c r="B37" t="s">
        <v>22</v>
      </c>
      <c r="D37" t="s">
        <v>47</v>
      </c>
      <c r="E37">
        <v>54463</v>
      </c>
      <c r="F37" s="2">
        <v>42253</v>
      </c>
      <c r="G37">
        <v>4</v>
      </c>
      <c r="H37" t="s">
        <v>28</v>
      </c>
      <c r="I37" t="s">
        <v>14</v>
      </c>
    </row>
    <row r="38" spans="1:9" x14ac:dyDescent="0.3">
      <c r="A38" t="s">
        <v>101</v>
      </c>
      <c r="B38" t="s">
        <v>22</v>
      </c>
      <c r="C38" t="s">
        <v>34</v>
      </c>
      <c r="D38" t="s">
        <v>27</v>
      </c>
      <c r="E38">
        <v>89781</v>
      </c>
      <c r="F38" s="2">
        <v>42260</v>
      </c>
      <c r="H38" t="s">
        <v>36</v>
      </c>
      <c r="I38" t="s">
        <v>102</v>
      </c>
    </row>
    <row r="39" spans="1:9" x14ac:dyDescent="0.3">
      <c r="A39" t="s">
        <v>103</v>
      </c>
      <c r="B39" t="s">
        <v>22</v>
      </c>
      <c r="C39" t="s">
        <v>17</v>
      </c>
      <c r="E39">
        <v>64796</v>
      </c>
      <c r="F39" s="2">
        <v>42267</v>
      </c>
      <c r="H39" t="s">
        <v>19</v>
      </c>
      <c r="I39" t="s">
        <v>104</v>
      </c>
    </row>
    <row r="40" spans="1:9" x14ac:dyDescent="0.3">
      <c r="A40" t="s">
        <v>105</v>
      </c>
      <c r="B40" t="s">
        <v>25</v>
      </c>
      <c r="C40" t="s">
        <v>42</v>
      </c>
      <c r="D40" t="s">
        <v>47</v>
      </c>
      <c r="E40">
        <v>52093</v>
      </c>
      <c r="F40" s="2">
        <v>42274</v>
      </c>
      <c r="G40">
        <v>5</v>
      </c>
      <c r="I40" t="s">
        <v>106</v>
      </c>
    </row>
    <row r="41" spans="1:9" x14ac:dyDescent="0.3">
      <c r="A41" t="s">
        <v>107</v>
      </c>
      <c r="B41" t="s">
        <v>41</v>
      </c>
      <c r="C41" t="s">
        <v>17</v>
      </c>
      <c r="D41" t="s">
        <v>47</v>
      </c>
      <c r="E41">
        <v>48224</v>
      </c>
      <c r="F41" s="2">
        <v>42281</v>
      </c>
      <c r="G41">
        <v>3</v>
      </c>
      <c r="I41" t="s">
        <v>108</v>
      </c>
    </row>
    <row r="42" spans="1:9" x14ac:dyDescent="0.3">
      <c r="A42" t="s">
        <v>109</v>
      </c>
      <c r="B42" t="s">
        <v>54</v>
      </c>
      <c r="C42" t="s">
        <v>10</v>
      </c>
      <c r="D42" t="s">
        <v>47</v>
      </c>
      <c r="E42" t="s">
        <v>12</v>
      </c>
      <c r="G42">
        <v>4</v>
      </c>
      <c r="H42" t="s">
        <v>36</v>
      </c>
      <c r="I42" t="s">
        <v>110</v>
      </c>
    </row>
    <row r="43" spans="1:9" x14ac:dyDescent="0.3">
      <c r="A43" t="s">
        <v>111</v>
      </c>
      <c r="B43" t="s">
        <v>22</v>
      </c>
      <c r="C43" t="s">
        <v>34</v>
      </c>
      <c r="D43" t="s">
        <v>18</v>
      </c>
      <c r="E43">
        <v>33956</v>
      </c>
      <c r="F43" s="2">
        <v>42295</v>
      </c>
      <c r="I43" t="s">
        <v>112</v>
      </c>
    </row>
    <row r="44" spans="1:9" x14ac:dyDescent="0.3">
      <c r="A44" t="s">
        <v>113</v>
      </c>
      <c r="B44" t="s">
        <v>54</v>
      </c>
      <c r="D44" t="s">
        <v>64</v>
      </c>
      <c r="E44">
        <v>64913</v>
      </c>
      <c r="F44" s="2">
        <v>42302</v>
      </c>
      <c r="G44">
        <v>1</v>
      </c>
      <c r="H44" t="s">
        <v>36</v>
      </c>
      <c r="I44" t="s">
        <v>114</v>
      </c>
    </row>
    <row r="45" spans="1:9" x14ac:dyDescent="0.3">
      <c r="A45" t="s">
        <v>115</v>
      </c>
      <c r="B45" t="s">
        <v>22</v>
      </c>
      <c r="C45" t="s">
        <v>42</v>
      </c>
      <c r="D45" t="s">
        <v>64</v>
      </c>
      <c r="E45">
        <v>35326</v>
      </c>
      <c r="F45" s="2">
        <v>42309</v>
      </c>
      <c r="H45" t="s">
        <v>36</v>
      </c>
      <c r="I45" t="s">
        <v>116</v>
      </c>
    </row>
    <row r="46" spans="1:9" x14ac:dyDescent="0.3">
      <c r="A46" t="s">
        <v>117</v>
      </c>
      <c r="B46" t="s">
        <v>41</v>
      </c>
      <c r="C46" t="s">
        <v>10</v>
      </c>
      <c r="E46">
        <v>81610</v>
      </c>
      <c r="F46" s="2">
        <v>42316</v>
      </c>
      <c r="G46">
        <v>1</v>
      </c>
      <c r="I46" t="s">
        <v>118</v>
      </c>
    </row>
    <row r="47" spans="1:9" x14ac:dyDescent="0.3">
      <c r="A47" t="s">
        <v>119</v>
      </c>
      <c r="C47" t="s">
        <v>17</v>
      </c>
      <c r="E47">
        <v>58962</v>
      </c>
      <c r="F47" s="2">
        <v>42323</v>
      </c>
      <c r="G47">
        <v>3</v>
      </c>
      <c r="H47" t="s">
        <v>19</v>
      </c>
      <c r="I47" t="s">
        <v>20</v>
      </c>
    </row>
    <row r="48" spans="1:9" x14ac:dyDescent="0.3">
      <c r="A48" t="s">
        <v>120</v>
      </c>
      <c r="B48" t="s">
        <v>41</v>
      </c>
      <c r="C48" t="s">
        <v>34</v>
      </c>
      <c r="D48" t="s">
        <v>18</v>
      </c>
      <c r="E48">
        <v>92701</v>
      </c>
      <c r="F48" s="2">
        <v>42330</v>
      </c>
      <c r="G48">
        <v>3</v>
      </c>
      <c r="H48" t="s">
        <v>19</v>
      </c>
      <c r="I48" t="s">
        <v>121</v>
      </c>
    </row>
    <row r="49" spans="1:9" x14ac:dyDescent="0.3">
      <c r="A49" t="s">
        <v>122</v>
      </c>
      <c r="B49" t="s">
        <v>41</v>
      </c>
      <c r="C49" t="s">
        <v>17</v>
      </c>
      <c r="D49" t="s">
        <v>35</v>
      </c>
      <c r="E49">
        <v>58245</v>
      </c>
      <c r="F49" s="2">
        <v>42337</v>
      </c>
      <c r="G49">
        <v>4</v>
      </c>
      <c r="I49" t="s">
        <v>123</v>
      </c>
    </row>
    <row r="50" spans="1:9" x14ac:dyDescent="0.3">
      <c r="A50" t="s">
        <v>124</v>
      </c>
      <c r="B50" t="s">
        <v>25</v>
      </c>
      <c r="C50" t="s">
        <v>10</v>
      </c>
      <c r="E50">
        <v>66513</v>
      </c>
      <c r="F50" s="2">
        <v>42344</v>
      </c>
      <c r="G50">
        <v>2</v>
      </c>
      <c r="H50" t="s">
        <v>19</v>
      </c>
      <c r="I50" t="s">
        <v>37</v>
      </c>
    </row>
    <row r="51" spans="1:9" x14ac:dyDescent="0.3">
      <c r="A51" t="s">
        <v>125</v>
      </c>
      <c r="B51" t="s">
        <v>16</v>
      </c>
      <c r="C51" t="s">
        <v>17</v>
      </c>
      <c r="D51" t="s">
        <v>18</v>
      </c>
      <c r="E51">
        <v>78720</v>
      </c>
      <c r="F51" s="2">
        <v>42351</v>
      </c>
      <c r="G51">
        <v>5</v>
      </c>
      <c r="H51" t="s">
        <v>36</v>
      </c>
      <c r="I51" t="s">
        <v>110</v>
      </c>
    </row>
    <row r="52" spans="1:9" x14ac:dyDescent="0.3">
      <c r="A52" t="s">
        <v>126</v>
      </c>
      <c r="B52" t="s">
        <v>41</v>
      </c>
      <c r="D52" t="s">
        <v>11</v>
      </c>
      <c r="E52">
        <v>30686</v>
      </c>
      <c r="G52">
        <v>2</v>
      </c>
      <c r="H52" t="s">
        <v>36</v>
      </c>
      <c r="I52" t="s">
        <v>127</v>
      </c>
    </row>
    <row r="53" spans="1:9" x14ac:dyDescent="0.3">
      <c r="A53" t="s">
        <v>128</v>
      </c>
      <c r="B53" t="s">
        <v>39</v>
      </c>
      <c r="C53" t="s">
        <v>26</v>
      </c>
      <c r="D53" t="s">
        <v>35</v>
      </c>
      <c r="E53">
        <v>39423</v>
      </c>
      <c r="F53" s="2">
        <v>42365</v>
      </c>
      <c r="G53">
        <v>5</v>
      </c>
      <c r="I53" t="s">
        <v>129</v>
      </c>
    </row>
    <row r="54" spans="1:9" x14ac:dyDescent="0.3">
      <c r="A54" t="s">
        <v>130</v>
      </c>
      <c r="B54" t="s">
        <v>16</v>
      </c>
      <c r="C54" t="s">
        <v>42</v>
      </c>
      <c r="E54">
        <v>30280</v>
      </c>
      <c r="F54" s="2">
        <v>42372</v>
      </c>
      <c r="G54">
        <v>1</v>
      </c>
      <c r="I54" t="s">
        <v>131</v>
      </c>
    </row>
    <row r="55" spans="1:9" x14ac:dyDescent="0.3">
      <c r="A55" t="s">
        <v>132</v>
      </c>
      <c r="B55" t="s">
        <v>16</v>
      </c>
      <c r="C55" t="s">
        <v>10</v>
      </c>
      <c r="D55" t="s">
        <v>47</v>
      </c>
      <c r="E55">
        <v>33352</v>
      </c>
      <c r="F55" s="2">
        <v>42379</v>
      </c>
      <c r="G55">
        <v>3</v>
      </c>
      <c r="H55" t="s">
        <v>36</v>
      </c>
      <c r="I55" t="s">
        <v>71</v>
      </c>
    </row>
    <row r="56" spans="1:9" x14ac:dyDescent="0.3">
      <c r="A56" t="s">
        <v>133</v>
      </c>
      <c r="B56" t="s">
        <v>54</v>
      </c>
      <c r="C56" t="s">
        <v>42</v>
      </c>
      <c r="D56" t="s">
        <v>47</v>
      </c>
      <c r="E56">
        <v>75633</v>
      </c>
      <c r="F56" s="2">
        <v>42386</v>
      </c>
      <c r="G56">
        <v>5</v>
      </c>
      <c r="H56" t="s">
        <v>19</v>
      </c>
      <c r="I56" t="s">
        <v>134</v>
      </c>
    </row>
    <row r="57" spans="1:9" x14ac:dyDescent="0.3">
      <c r="A57" t="s">
        <v>135</v>
      </c>
      <c r="B57" t="s">
        <v>41</v>
      </c>
      <c r="D57" t="s">
        <v>27</v>
      </c>
      <c r="E57">
        <v>74815</v>
      </c>
      <c r="F57" s="2">
        <v>42393</v>
      </c>
      <c r="G57">
        <v>5</v>
      </c>
      <c r="H57" t="s">
        <v>36</v>
      </c>
      <c r="I57" t="s">
        <v>136</v>
      </c>
    </row>
    <row r="58" spans="1:9" x14ac:dyDescent="0.3">
      <c r="A58" t="s">
        <v>137</v>
      </c>
      <c r="B58" t="s">
        <v>25</v>
      </c>
      <c r="C58" t="s">
        <v>26</v>
      </c>
      <c r="D58" t="s">
        <v>64</v>
      </c>
      <c r="E58">
        <v>60011</v>
      </c>
      <c r="F58" s="2">
        <v>42400</v>
      </c>
      <c r="G58">
        <v>1</v>
      </c>
      <c r="H58" t="s">
        <v>28</v>
      </c>
      <c r="I58" t="s">
        <v>138</v>
      </c>
    </row>
    <row r="59" spans="1:9" x14ac:dyDescent="0.3">
      <c r="A59" t="s">
        <v>139</v>
      </c>
      <c r="B59" t="s">
        <v>16</v>
      </c>
      <c r="D59" t="s">
        <v>35</v>
      </c>
      <c r="E59">
        <v>96949</v>
      </c>
      <c r="F59" s="2">
        <v>42407</v>
      </c>
      <c r="G59">
        <v>3</v>
      </c>
      <c r="I59" t="s">
        <v>85</v>
      </c>
    </row>
    <row r="60" spans="1:9" x14ac:dyDescent="0.3">
      <c r="A60" t="s">
        <v>140</v>
      </c>
      <c r="B60" t="s">
        <v>39</v>
      </c>
      <c r="C60" t="s">
        <v>42</v>
      </c>
      <c r="E60">
        <v>84924</v>
      </c>
      <c r="F60" s="2">
        <v>42414</v>
      </c>
      <c r="G60">
        <v>5</v>
      </c>
      <c r="H60" t="s">
        <v>28</v>
      </c>
      <c r="I60" t="s">
        <v>141</v>
      </c>
    </row>
    <row r="61" spans="1:9" x14ac:dyDescent="0.3">
      <c r="A61" t="s">
        <v>142</v>
      </c>
      <c r="B61" t="s">
        <v>39</v>
      </c>
      <c r="C61" t="s">
        <v>10</v>
      </c>
      <c r="D61" t="s">
        <v>27</v>
      </c>
      <c r="E61">
        <v>82033</v>
      </c>
      <c r="F61" s="2">
        <v>42421</v>
      </c>
      <c r="G61">
        <v>1</v>
      </c>
      <c r="I61" t="s">
        <v>118</v>
      </c>
    </row>
    <row r="62" spans="1:9" x14ac:dyDescent="0.3">
      <c r="A62" t="s">
        <v>143</v>
      </c>
      <c r="C62" t="s">
        <v>42</v>
      </c>
      <c r="D62" t="s">
        <v>18</v>
      </c>
      <c r="E62" t="s">
        <v>12</v>
      </c>
      <c r="G62">
        <v>5</v>
      </c>
      <c r="H62" t="s">
        <v>13</v>
      </c>
      <c r="I62" t="s">
        <v>144</v>
      </c>
    </row>
    <row r="63" spans="1:9" x14ac:dyDescent="0.3">
      <c r="A63" t="s">
        <v>145</v>
      </c>
      <c r="B63" t="s">
        <v>16</v>
      </c>
      <c r="D63" t="s">
        <v>64</v>
      </c>
      <c r="E63">
        <v>31499</v>
      </c>
      <c r="F63" s="2">
        <v>42435</v>
      </c>
      <c r="G63">
        <v>2</v>
      </c>
      <c r="I63" t="s">
        <v>102</v>
      </c>
    </row>
    <row r="64" spans="1:9" x14ac:dyDescent="0.3">
      <c r="A64" t="s">
        <v>146</v>
      </c>
      <c r="B64" t="s">
        <v>41</v>
      </c>
      <c r="C64" t="s">
        <v>34</v>
      </c>
      <c r="D64" t="s">
        <v>47</v>
      </c>
      <c r="E64">
        <v>97981</v>
      </c>
      <c r="F64" s="2">
        <v>42442</v>
      </c>
      <c r="G64">
        <v>5</v>
      </c>
      <c r="H64" t="s">
        <v>36</v>
      </c>
      <c r="I64" t="s">
        <v>147</v>
      </c>
    </row>
    <row r="65" spans="1:9" x14ac:dyDescent="0.3">
      <c r="A65" t="s">
        <v>148</v>
      </c>
      <c r="B65" t="s">
        <v>16</v>
      </c>
      <c r="C65" t="s">
        <v>17</v>
      </c>
      <c r="D65" t="s">
        <v>27</v>
      </c>
      <c r="E65">
        <v>36541</v>
      </c>
      <c r="F65" s="2">
        <v>42449</v>
      </c>
      <c r="G65">
        <v>2</v>
      </c>
      <c r="H65" t="s">
        <v>19</v>
      </c>
      <c r="I65" t="s">
        <v>149</v>
      </c>
    </row>
    <row r="66" spans="1:9" x14ac:dyDescent="0.3">
      <c r="A66" t="s">
        <v>150</v>
      </c>
      <c r="B66" t="s">
        <v>25</v>
      </c>
      <c r="C66" t="s">
        <v>34</v>
      </c>
      <c r="D66" t="s">
        <v>35</v>
      </c>
      <c r="E66">
        <v>84737</v>
      </c>
      <c r="F66" s="2">
        <v>42456</v>
      </c>
      <c r="G66">
        <v>1</v>
      </c>
      <c r="H66" t="s">
        <v>28</v>
      </c>
      <c r="I66" t="s">
        <v>151</v>
      </c>
    </row>
    <row r="67" spans="1:9" x14ac:dyDescent="0.3">
      <c r="A67" t="s">
        <v>152</v>
      </c>
      <c r="B67" t="s">
        <v>39</v>
      </c>
      <c r="C67" t="s">
        <v>10</v>
      </c>
      <c r="D67" t="s">
        <v>35</v>
      </c>
      <c r="E67">
        <v>33468</v>
      </c>
      <c r="F67" s="2">
        <v>42463</v>
      </c>
      <c r="G67">
        <v>4</v>
      </c>
      <c r="H67" t="s">
        <v>28</v>
      </c>
      <c r="I67" t="s">
        <v>153</v>
      </c>
    </row>
    <row r="68" spans="1:9" x14ac:dyDescent="0.3">
      <c r="A68" t="s">
        <v>154</v>
      </c>
      <c r="B68" t="s">
        <v>39</v>
      </c>
      <c r="D68" t="s">
        <v>64</v>
      </c>
      <c r="E68">
        <v>96365</v>
      </c>
      <c r="F68" s="2">
        <v>42470</v>
      </c>
      <c r="G68">
        <v>3</v>
      </c>
      <c r="H68" t="s">
        <v>19</v>
      </c>
      <c r="I68" t="s">
        <v>155</v>
      </c>
    </row>
    <row r="69" spans="1:9" x14ac:dyDescent="0.3">
      <c r="A69" t="s">
        <v>156</v>
      </c>
      <c r="B69" t="s">
        <v>22</v>
      </c>
      <c r="C69" t="s">
        <v>26</v>
      </c>
      <c r="D69" t="s">
        <v>35</v>
      </c>
      <c r="E69">
        <v>61942</v>
      </c>
      <c r="F69" s="2">
        <v>42477</v>
      </c>
      <c r="G69">
        <v>3</v>
      </c>
      <c r="H69" t="s">
        <v>36</v>
      </c>
      <c r="I69" t="s">
        <v>157</v>
      </c>
    </row>
    <row r="70" spans="1:9" x14ac:dyDescent="0.3">
      <c r="A70" t="s">
        <v>158</v>
      </c>
      <c r="B70" t="s">
        <v>39</v>
      </c>
      <c r="C70" t="s">
        <v>10</v>
      </c>
      <c r="D70" t="s">
        <v>47</v>
      </c>
      <c r="E70">
        <v>41467</v>
      </c>
      <c r="F70" s="2">
        <v>42484</v>
      </c>
      <c r="G70">
        <v>2</v>
      </c>
      <c r="I70" t="s">
        <v>73</v>
      </c>
    </row>
    <row r="71" spans="1:9" x14ac:dyDescent="0.3">
      <c r="A71" t="s">
        <v>159</v>
      </c>
      <c r="B71" t="s">
        <v>54</v>
      </c>
      <c r="C71" t="s">
        <v>10</v>
      </c>
      <c r="D71" t="s">
        <v>35</v>
      </c>
      <c r="E71">
        <v>77096</v>
      </c>
      <c r="F71" s="2">
        <v>42491</v>
      </c>
      <c r="G71">
        <v>1</v>
      </c>
      <c r="I71" t="s">
        <v>160</v>
      </c>
    </row>
    <row r="72" spans="1:9" x14ac:dyDescent="0.3">
      <c r="A72" t="s">
        <v>161</v>
      </c>
      <c r="B72" t="s">
        <v>16</v>
      </c>
      <c r="C72" t="s">
        <v>26</v>
      </c>
      <c r="D72" t="s">
        <v>64</v>
      </c>
      <c r="E72">
        <v>69952</v>
      </c>
      <c r="F72" s="2">
        <v>42498</v>
      </c>
      <c r="G72">
        <v>5</v>
      </c>
      <c r="H72" t="s">
        <v>36</v>
      </c>
      <c r="I72" t="s">
        <v>14</v>
      </c>
    </row>
    <row r="73" spans="1:9" x14ac:dyDescent="0.3">
      <c r="A73" t="s">
        <v>162</v>
      </c>
      <c r="B73" t="s">
        <v>16</v>
      </c>
      <c r="C73" t="s">
        <v>42</v>
      </c>
      <c r="D73" t="s">
        <v>27</v>
      </c>
      <c r="E73">
        <v>85065</v>
      </c>
      <c r="F73" s="2">
        <v>42505</v>
      </c>
      <c r="G73">
        <v>3</v>
      </c>
      <c r="I73" t="s">
        <v>163</v>
      </c>
    </row>
    <row r="74" spans="1:9" x14ac:dyDescent="0.3">
      <c r="A74" t="s">
        <v>164</v>
      </c>
      <c r="B74" t="s">
        <v>54</v>
      </c>
      <c r="C74" t="s">
        <v>42</v>
      </c>
      <c r="D74" t="s">
        <v>35</v>
      </c>
      <c r="E74">
        <v>56512</v>
      </c>
      <c r="F74" s="2">
        <v>42512</v>
      </c>
      <c r="H74" t="s">
        <v>19</v>
      </c>
      <c r="I74" t="s">
        <v>48</v>
      </c>
    </row>
    <row r="75" spans="1:9" x14ac:dyDescent="0.3">
      <c r="A75" t="s">
        <v>165</v>
      </c>
      <c r="B75" t="s">
        <v>25</v>
      </c>
      <c r="C75" t="s">
        <v>26</v>
      </c>
      <c r="D75" t="s">
        <v>35</v>
      </c>
      <c r="E75">
        <v>91101</v>
      </c>
      <c r="F75" s="2">
        <v>42519</v>
      </c>
      <c r="G75">
        <v>4</v>
      </c>
      <c r="H75" t="s">
        <v>36</v>
      </c>
      <c r="I75" t="s">
        <v>147</v>
      </c>
    </row>
    <row r="76" spans="1:9" x14ac:dyDescent="0.3">
      <c r="A76" t="s">
        <v>166</v>
      </c>
      <c r="B76" t="s">
        <v>39</v>
      </c>
      <c r="D76" t="s">
        <v>18</v>
      </c>
      <c r="E76">
        <v>41243</v>
      </c>
      <c r="F76" s="2">
        <v>42526</v>
      </c>
      <c r="I76" t="s">
        <v>93</v>
      </c>
    </row>
    <row r="77" spans="1:9" x14ac:dyDescent="0.3">
      <c r="A77" t="s">
        <v>167</v>
      </c>
      <c r="C77" t="s">
        <v>26</v>
      </c>
      <c r="D77" t="s">
        <v>11</v>
      </c>
      <c r="E77">
        <v>96142</v>
      </c>
      <c r="F77" s="2">
        <v>42533</v>
      </c>
      <c r="G77">
        <v>1</v>
      </c>
      <c r="H77" t="s">
        <v>19</v>
      </c>
      <c r="I77" t="s">
        <v>168</v>
      </c>
    </row>
    <row r="78" spans="1:9" x14ac:dyDescent="0.3">
      <c r="A78" t="s">
        <v>169</v>
      </c>
      <c r="B78" t="s">
        <v>16</v>
      </c>
      <c r="C78" t="s">
        <v>34</v>
      </c>
      <c r="D78" t="s">
        <v>35</v>
      </c>
      <c r="E78">
        <v>94301</v>
      </c>
      <c r="F78" s="2">
        <v>42540</v>
      </c>
      <c r="G78">
        <v>1</v>
      </c>
      <c r="H78" t="s">
        <v>28</v>
      </c>
      <c r="I78" t="s">
        <v>118</v>
      </c>
    </row>
    <row r="79" spans="1:9" x14ac:dyDescent="0.3">
      <c r="A79" t="s">
        <v>170</v>
      </c>
      <c r="B79" t="s">
        <v>31</v>
      </c>
      <c r="D79" t="s">
        <v>47</v>
      </c>
      <c r="E79">
        <v>69166</v>
      </c>
      <c r="F79" s="2">
        <v>42547</v>
      </c>
      <c r="G79">
        <v>1</v>
      </c>
      <c r="H79" t="s">
        <v>36</v>
      </c>
      <c r="I79" t="s">
        <v>171</v>
      </c>
    </row>
    <row r="80" spans="1:9" x14ac:dyDescent="0.3">
      <c r="A80" t="s">
        <v>172</v>
      </c>
      <c r="B80" t="s">
        <v>39</v>
      </c>
      <c r="D80" t="s">
        <v>47</v>
      </c>
      <c r="E80">
        <v>78245</v>
      </c>
      <c r="F80" s="2">
        <v>42554</v>
      </c>
      <c r="G80">
        <v>2</v>
      </c>
      <c r="I80" t="s">
        <v>173</v>
      </c>
    </row>
    <row r="81" spans="1:9" x14ac:dyDescent="0.3">
      <c r="A81" t="s">
        <v>174</v>
      </c>
      <c r="B81" t="s">
        <v>41</v>
      </c>
      <c r="C81" t="s">
        <v>26</v>
      </c>
      <c r="D81" t="s">
        <v>27</v>
      </c>
      <c r="E81">
        <v>66079</v>
      </c>
      <c r="F81" s="2">
        <v>42561</v>
      </c>
      <c r="G81">
        <v>2</v>
      </c>
      <c r="H81" t="s">
        <v>19</v>
      </c>
      <c r="I81" t="s">
        <v>175</v>
      </c>
    </row>
    <row r="82" spans="1:9" x14ac:dyDescent="0.3">
      <c r="A82" t="s">
        <v>176</v>
      </c>
      <c r="B82" t="s">
        <v>16</v>
      </c>
      <c r="C82" t="s">
        <v>42</v>
      </c>
      <c r="D82" t="s">
        <v>35</v>
      </c>
      <c r="E82" t="s">
        <v>12</v>
      </c>
      <c r="I82" t="s">
        <v>87</v>
      </c>
    </row>
    <row r="83" spans="1:9" x14ac:dyDescent="0.3">
      <c r="A83" t="s">
        <v>177</v>
      </c>
      <c r="B83" t="s">
        <v>31</v>
      </c>
      <c r="C83" t="s">
        <v>26</v>
      </c>
      <c r="D83" t="s">
        <v>27</v>
      </c>
      <c r="E83">
        <v>95621</v>
      </c>
      <c r="F83" s="2">
        <v>42575</v>
      </c>
      <c r="G83">
        <v>3</v>
      </c>
      <c r="H83" t="s">
        <v>36</v>
      </c>
      <c r="I83" t="s">
        <v>178</v>
      </c>
    </row>
    <row r="84" spans="1:9" x14ac:dyDescent="0.3">
      <c r="A84" t="s">
        <v>179</v>
      </c>
      <c r="B84" t="s">
        <v>16</v>
      </c>
      <c r="C84" t="s">
        <v>34</v>
      </c>
      <c r="D84" t="s">
        <v>47</v>
      </c>
      <c r="E84">
        <v>42262</v>
      </c>
      <c r="F84" s="2">
        <v>42582</v>
      </c>
      <c r="G84">
        <v>1</v>
      </c>
      <c r="I84" t="s">
        <v>180</v>
      </c>
    </row>
    <row r="85" spans="1:9" x14ac:dyDescent="0.3">
      <c r="A85" t="s">
        <v>181</v>
      </c>
      <c r="B85" t="s">
        <v>39</v>
      </c>
      <c r="C85" t="s">
        <v>26</v>
      </c>
      <c r="D85" t="s">
        <v>35</v>
      </c>
      <c r="E85">
        <v>99621</v>
      </c>
      <c r="F85" s="2">
        <v>42589</v>
      </c>
      <c r="H85" t="s">
        <v>19</v>
      </c>
      <c r="I85" t="s">
        <v>182</v>
      </c>
    </row>
    <row r="86" spans="1:9" x14ac:dyDescent="0.3">
      <c r="A86" t="s">
        <v>183</v>
      </c>
      <c r="B86" t="s">
        <v>25</v>
      </c>
      <c r="C86" t="s">
        <v>42</v>
      </c>
      <c r="D86" t="s">
        <v>35</v>
      </c>
      <c r="E86">
        <v>44682</v>
      </c>
      <c r="F86" s="2">
        <v>42596</v>
      </c>
      <c r="G86">
        <v>4</v>
      </c>
      <c r="H86" t="s">
        <v>36</v>
      </c>
      <c r="I86" t="s">
        <v>112</v>
      </c>
    </row>
    <row r="87" spans="1:9" x14ac:dyDescent="0.3">
      <c r="A87" t="s">
        <v>184</v>
      </c>
      <c r="B87" t="s">
        <v>41</v>
      </c>
      <c r="C87" t="s">
        <v>10</v>
      </c>
      <c r="E87">
        <v>35163</v>
      </c>
      <c r="F87" s="2">
        <v>42603</v>
      </c>
      <c r="G87">
        <v>5</v>
      </c>
      <c r="H87" t="s">
        <v>19</v>
      </c>
      <c r="I87" t="s">
        <v>185</v>
      </c>
    </row>
    <row r="88" spans="1:9" x14ac:dyDescent="0.3">
      <c r="A88" t="s">
        <v>186</v>
      </c>
      <c r="B88" t="s">
        <v>41</v>
      </c>
      <c r="C88" t="s">
        <v>34</v>
      </c>
      <c r="D88" t="s">
        <v>35</v>
      </c>
      <c r="E88">
        <v>33483</v>
      </c>
      <c r="F88" s="2">
        <v>42610</v>
      </c>
      <c r="G88">
        <v>4</v>
      </c>
      <c r="H88" t="s">
        <v>28</v>
      </c>
      <c r="I88" t="s">
        <v>187</v>
      </c>
    </row>
    <row r="89" spans="1:9" x14ac:dyDescent="0.3">
      <c r="A89" t="s">
        <v>188</v>
      </c>
      <c r="B89" t="s">
        <v>39</v>
      </c>
      <c r="C89" t="s">
        <v>17</v>
      </c>
      <c r="D89" t="s">
        <v>18</v>
      </c>
      <c r="E89">
        <v>55303</v>
      </c>
      <c r="F89" s="2">
        <v>42617</v>
      </c>
      <c r="G89">
        <v>4</v>
      </c>
      <c r="H89" t="s">
        <v>28</v>
      </c>
      <c r="I89" t="s">
        <v>77</v>
      </c>
    </row>
    <row r="90" spans="1:9" x14ac:dyDescent="0.3">
      <c r="A90" t="s">
        <v>189</v>
      </c>
      <c r="B90" t="s">
        <v>41</v>
      </c>
      <c r="C90" t="s">
        <v>34</v>
      </c>
      <c r="E90">
        <v>63434</v>
      </c>
      <c r="F90" s="2">
        <v>42624</v>
      </c>
      <c r="G90">
        <v>3</v>
      </c>
      <c r="I90" t="s">
        <v>190</v>
      </c>
    </row>
    <row r="91" spans="1:9" x14ac:dyDescent="0.3">
      <c r="A91" t="s">
        <v>191</v>
      </c>
      <c r="B91" t="s">
        <v>31</v>
      </c>
      <c r="D91" t="s">
        <v>64</v>
      </c>
      <c r="E91">
        <v>38830</v>
      </c>
      <c r="F91" s="2">
        <v>42631</v>
      </c>
      <c r="G91">
        <v>3</v>
      </c>
      <c r="H91" t="s">
        <v>19</v>
      </c>
      <c r="I91" t="s">
        <v>77</v>
      </c>
    </row>
    <row r="92" spans="1:9" x14ac:dyDescent="0.3">
      <c r="A92" t="s">
        <v>192</v>
      </c>
      <c r="C92" t="s">
        <v>42</v>
      </c>
      <c r="D92" t="s">
        <v>47</v>
      </c>
      <c r="E92">
        <v>50741</v>
      </c>
      <c r="F92" s="2">
        <v>42638</v>
      </c>
      <c r="G92">
        <v>3</v>
      </c>
      <c r="H92" t="s">
        <v>13</v>
      </c>
      <c r="I92" t="s">
        <v>160</v>
      </c>
    </row>
    <row r="93" spans="1:9" x14ac:dyDescent="0.3">
      <c r="A93" t="s">
        <v>193</v>
      </c>
      <c r="B93" t="s">
        <v>22</v>
      </c>
      <c r="C93" t="s">
        <v>17</v>
      </c>
      <c r="D93" t="s">
        <v>64</v>
      </c>
      <c r="E93">
        <v>69420</v>
      </c>
      <c r="F93" s="2">
        <v>42645</v>
      </c>
      <c r="G93">
        <v>1</v>
      </c>
      <c r="H93" t="s">
        <v>28</v>
      </c>
      <c r="I93" t="s">
        <v>123</v>
      </c>
    </row>
    <row r="94" spans="1:9" x14ac:dyDescent="0.3">
      <c r="A94" t="s">
        <v>194</v>
      </c>
      <c r="B94" t="s">
        <v>31</v>
      </c>
      <c r="C94" t="s">
        <v>34</v>
      </c>
      <c r="E94">
        <v>80588</v>
      </c>
      <c r="F94" s="2">
        <v>42652</v>
      </c>
      <c r="G94">
        <v>5</v>
      </c>
      <c r="H94" t="s">
        <v>28</v>
      </c>
      <c r="I94" t="s">
        <v>104</v>
      </c>
    </row>
    <row r="95" spans="1:9" x14ac:dyDescent="0.3">
      <c r="A95" t="s">
        <v>195</v>
      </c>
      <c r="B95" t="s">
        <v>22</v>
      </c>
      <c r="D95" t="s">
        <v>27</v>
      </c>
      <c r="E95">
        <v>76238</v>
      </c>
      <c r="F95" s="2">
        <v>42659</v>
      </c>
      <c r="G95">
        <v>4</v>
      </c>
      <c r="H95" t="s">
        <v>28</v>
      </c>
      <c r="I95" t="s">
        <v>196</v>
      </c>
    </row>
    <row r="96" spans="1:9" x14ac:dyDescent="0.3">
      <c r="A96" t="s">
        <v>197</v>
      </c>
      <c r="B96" t="s">
        <v>54</v>
      </c>
      <c r="C96" t="s">
        <v>34</v>
      </c>
      <c r="D96" t="s">
        <v>35</v>
      </c>
      <c r="E96">
        <v>33264</v>
      </c>
      <c r="F96" s="2">
        <v>42666</v>
      </c>
      <c r="H96" t="s">
        <v>36</v>
      </c>
      <c r="I96" t="s">
        <v>198</v>
      </c>
    </row>
    <row r="97" spans="1:9" x14ac:dyDescent="0.3">
      <c r="A97" t="s">
        <v>199</v>
      </c>
      <c r="B97" t="s">
        <v>22</v>
      </c>
      <c r="C97" t="s">
        <v>10</v>
      </c>
      <c r="D97" t="s">
        <v>64</v>
      </c>
      <c r="E97">
        <v>96101</v>
      </c>
      <c r="F97" s="2">
        <v>42673</v>
      </c>
      <c r="H97" t="s">
        <v>19</v>
      </c>
      <c r="I97" t="s">
        <v>200</v>
      </c>
    </row>
    <row r="98" spans="1:9" x14ac:dyDescent="0.3">
      <c r="A98" t="s">
        <v>201</v>
      </c>
      <c r="B98" t="s">
        <v>31</v>
      </c>
      <c r="C98" t="s">
        <v>10</v>
      </c>
      <c r="D98" t="s">
        <v>27</v>
      </c>
      <c r="E98">
        <v>72939</v>
      </c>
      <c r="F98" s="2">
        <v>42680</v>
      </c>
      <c r="G98">
        <v>3</v>
      </c>
      <c r="I98" t="s">
        <v>202</v>
      </c>
    </row>
    <row r="99" spans="1:9" x14ac:dyDescent="0.3">
      <c r="A99" t="s">
        <v>203</v>
      </c>
      <c r="B99" t="s">
        <v>39</v>
      </c>
      <c r="C99" t="s">
        <v>17</v>
      </c>
      <c r="D99" t="s">
        <v>18</v>
      </c>
      <c r="E99">
        <v>89333</v>
      </c>
      <c r="F99" s="2">
        <v>42687</v>
      </c>
      <c r="G99">
        <v>1</v>
      </c>
      <c r="H99" t="s">
        <v>28</v>
      </c>
      <c r="I99" t="s">
        <v>204</v>
      </c>
    </row>
    <row r="100" spans="1:9" x14ac:dyDescent="0.3">
      <c r="A100" t="s">
        <v>205</v>
      </c>
      <c r="B100" t="s">
        <v>54</v>
      </c>
      <c r="C100" t="s">
        <v>34</v>
      </c>
      <c r="D100" t="s">
        <v>64</v>
      </c>
      <c r="E100">
        <v>70470</v>
      </c>
      <c r="F100" s="2">
        <v>42694</v>
      </c>
      <c r="H100" t="s">
        <v>28</v>
      </c>
      <c r="I100" t="s">
        <v>206</v>
      </c>
    </row>
    <row r="101" spans="1:9" x14ac:dyDescent="0.3">
      <c r="A101" t="s">
        <v>207</v>
      </c>
      <c r="B101" t="s">
        <v>16</v>
      </c>
      <c r="C101" t="s">
        <v>42</v>
      </c>
      <c r="D101" t="s">
        <v>27</v>
      </c>
      <c r="E101">
        <v>70096</v>
      </c>
      <c r="F101" s="2">
        <v>42701</v>
      </c>
      <c r="G101">
        <v>4</v>
      </c>
      <c r="H101" t="s">
        <v>28</v>
      </c>
      <c r="I101" t="s">
        <v>208</v>
      </c>
    </row>
    <row r="102" spans="1:9" x14ac:dyDescent="0.3">
      <c r="A102" t="s">
        <v>209</v>
      </c>
      <c r="B102" t="s">
        <v>54</v>
      </c>
      <c r="C102" t="s">
        <v>42</v>
      </c>
      <c r="D102" t="s">
        <v>11</v>
      </c>
      <c r="E102" t="s">
        <v>12</v>
      </c>
      <c r="F102" s="2">
        <v>42708</v>
      </c>
      <c r="G102">
        <v>2</v>
      </c>
      <c r="H102" t="s">
        <v>19</v>
      </c>
      <c r="I102" t="s">
        <v>210</v>
      </c>
    </row>
    <row r="103" spans="1:9" x14ac:dyDescent="0.3">
      <c r="A103" t="s">
        <v>211</v>
      </c>
      <c r="B103" t="s">
        <v>54</v>
      </c>
      <c r="C103" t="s">
        <v>34</v>
      </c>
      <c r="D103" t="s">
        <v>18</v>
      </c>
      <c r="E103">
        <v>66503</v>
      </c>
      <c r="F103" s="2">
        <v>42715</v>
      </c>
      <c r="H103" t="s">
        <v>28</v>
      </c>
      <c r="I103" t="s">
        <v>71</v>
      </c>
    </row>
    <row r="104" spans="1:9" x14ac:dyDescent="0.3">
      <c r="A104" t="s">
        <v>212</v>
      </c>
      <c r="B104" t="s">
        <v>22</v>
      </c>
      <c r="C104" t="s">
        <v>17</v>
      </c>
      <c r="D104" t="s">
        <v>18</v>
      </c>
      <c r="E104">
        <v>42096</v>
      </c>
      <c r="F104" s="2">
        <v>42722</v>
      </c>
      <c r="H104" t="s">
        <v>36</v>
      </c>
      <c r="I104" t="s">
        <v>213</v>
      </c>
    </row>
    <row r="105" spans="1:9" x14ac:dyDescent="0.3">
      <c r="A105" t="s">
        <v>214</v>
      </c>
      <c r="B105" t="s">
        <v>22</v>
      </c>
      <c r="C105" t="s">
        <v>42</v>
      </c>
      <c r="E105">
        <v>79145</v>
      </c>
      <c r="F105" s="2">
        <v>42729</v>
      </c>
      <c r="G105">
        <v>5</v>
      </c>
      <c r="H105" t="s">
        <v>19</v>
      </c>
      <c r="I105" t="s">
        <v>118</v>
      </c>
    </row>
    <row r="106" spans="1:9" x14ac:dyDescent="0.3">
      <c r="A106" t="s">
        <v>215</v>
      </c>
      <c r="B106" t="s">
        <v>31</v>
      </c>
      <c r="D106" t="s">
        <v>64</v>
      </c>
      <c r="E106">
        <v>61556</v>
      </c>
      <c r="F106" s="2">
        <v>42736</v>
      </c>
      <c r="G106">
        <v>1</v>
      </c>
      <c r="I106" t="s">
        <v>210</v>
      </c>
    </row>
    <row r="107" spans="1:9" x14ac:dyDescent="0.3">
      <c r="A107" t="s">
        <v>216</v>
      </c>
      <c r="C107" t="s">
        <v>17</v>
      </c>
      <c r="D107" t="s">
        <v>47</v>
      </c>
      <c r="E107">
        <v>87963</v>
      </c>
      <c r="F107" s="2">
        <v>42743</v>
      </c>
      <c r="G107">
        <v>3</v>
      </c>
      <c r="H107" t="s">
        <v>19</v>
      </c>
      <c r="I107" t="s">
        <v>14</v>
      </c>
    </row>
    <row r="108" spans="1:9" x14ac:dyDescent="0.3">
      <c r="A108" t="s">
        <v>217</v>
      </c>
      <c r="B108" t="s">
        <v>16</v>
      </c>
      <c r="C108" t="s">
        <v>34</v>
      </c>
      <c r="E108">
        <v>48325</v>
      </c>
      <c r="F108" s="2">
        <v>42750</v>
      </c>
      <c r="H108" t="s">
        <v>28</v>
      </c>
      <c r="I108" t="s">
        <v>218</v>
      </c>
    </row>
    <row r="109" spans="1:9" x14ac:dyDescent="0.3">
      <c r="A109" t="s">
        <v>219</v>
      </c>
      <c r="B109" t="s">
        <v>39</v>
      </c>
      <c r="C109" t="s">
        <v>42</v>
      </c>
      <c r="D109" t="s">
        <v>64</v>
      </c>
      <c r="E109">
        <v>86412</v>
      </c>
      <c r="F109" s="2">
        <v>42757</v>
      </c>
      <c r="G109">
        <v>2</v>
      </c>
      <c r="H109" t="s">
        <v>36</v>
      </c>
      <c r="I109" t="s">
        <v>75</v>
      </c>
    </row>
    <row r="110" spans="1:9" x14ac:dyDescent="0.3">
      <c r="A110" t="s">
        <v>220</v>
      </c>
      <c r="B110" t="s">
        <v>39</v>
      </c>
      <c r="C110" t="s">
        <v>17</v>
      </c>
      <c r="E110">
        <v>66761</v>
      </c>
      <c r="F110" s="2">
        <v>42764</v>
      </c>
      <c r="G110">
        <v>1</v>
      </c>
      <c r="I110" t="s">
        <v>221</v>
      </c>
    </row>
    <row r="111" spans="1:9" x14ac:dyDescent="0.3">
      <c r="A111" t="s">
        <v>222</v>
      </c>
      <c r="B111" t="s">
        <v>31</v>
      </c>
      <c r="D111" t="s">
        <v>35</v>
      </c>
      <c r="E111">
        <v>88850</v>
      </c>
      <c r="F111" s="2">
        <v>42771</v>
      </c>
      <c r="G111">
        <v>1</v>
      </c>
      <c r="H111" t="s">
        <v>36</v>
      </c>
      <c r="I111" t="s">
        <v>223</v>
      </c>
    </row>
    <row r="112" spans="1:9" x14ac:dyDescent="0.3">
      <c r="A112" t="s">
        <v>224</v>
      </c>
      <c r="B112" t="s">
        <v>41</v>
      </c>
      <c r="C112" t="s">
        <v>26</v>
      </c>
      <c r="D112" t="s">
        <v>35</v>
      </c>
      <c r="E112">
        <v>31293</v>
      </c>
      <c r="G112">
        <v>2</v>
      </c>
      <c r="H112" t="s">
        <v>36</v>
      </c>
      <c r="I112" t="s">
        <v>225</v>
      </c>
    </row>
    <row r="113" spans="1:9" x14ac:dyDescent="0.3">
      <c r="A113" t="s">
        <v>226</v>
      </c>
      <c r="B113" t="s">
        <v>41</v>
      </c>
      <c r="C113" t="s">
        <v>34</v>
      </c>
      <c r="D113" t="s">
        <v>27</v>
      </c>
      <c r="E113">
        <v>34306</v>
      </c>
      <c r="F113" s="2">
        <v>42785</v>
      </c>
      <c r="G113">
        <v>5</v>
      </c>
      <c r="H113" t="s">
        <v>36</v>
      </c>
      <c r="I113" t="s">
        <v>157</v>
      </c>
    </row>
    <row r="114" spans="1:9" x14ac:dyDescent="0.3">
      <c r="A114" t="s">
        <v>227</v>
      </c>
      <c r="B114" t="s">
        <v>16</v>
      </c>
      <c r="C114" t="s">
        <v>10</v>
      </c>
      <c r="D114" t="s">
        <v>35</v>
      </c>
      <c r="E114">
        <v>78330</v>
      </c>
      <c r="F114" s="2">
        <v>42792</v>
      </c>
      <c r="H114" t="s">
        <v>19</v>
      </c>
      <c r="I114" t="s">
        <v>208</v>
      </c>
    </row>
    <row r="115" spans="1:9" x14ac:dyDescent="0.3">
      <c r="A115" t="s">
        <v>228</v>
      </c>
      <c r="B115" t="s">
        <v>22</v>
      </c>
      <c r="C115" t="s">
        <v>34</v>
      </c>
      <c r="D115" t="s">
        <v>27</v>
      </c>
      <c r="E115">
        <v>47653</v>
      </c>
      <c r="F115" s="2">
        <v>42799</v>
      </c>
      <c r="G115">
        <v>1</v>
      </c>
      <c r="H115" t="s">
        <v>28</v>
      </c>
      <c r="I115" t="s">
        <v>229</v>
      </c>
    </row>
    <row r="116" spans="1:9" x14ac:dyDescent="0.3">
      <c r="A116" t="s">
        <v>230</v>
      </c>
      <c r="B116" t="s">
        <v>16</v>
      </c>
      <c r="C116" t="s">
        <v>42</v>
      </c>
      <c r="D116" t="s">
        <v>47</v>
      </c>
      <c r="E116">
        <v>44627</v>
      </c>
      <c r="F116" s="2">
        <v>42806</v>
      </c>
      <c r="G116">
        <v>4</v>
      </c>
      <c r="I116" t="s">
        <v>149</v>
      </c>
    </row>
    <row r="117" spans="1:9" x14ac:dyDescent="0.3">
      <c r="A117" t="s">
        <v>231</v>
      </c>
      <c r="B117" t="s">
        <v>54</v>
      </c>
      <c r="C117" t="s">
        <v>17</v>
      </c>
      <c r="D117" t="s">
        <v>18</v>
      </c>
      <c r="E117">
        <v>92343</v>
      </c>
      <c r="F117" s="2">
        <v>42813</v>
      </c>
      <c r="G117">
        <v>4</v>
      </c>
      <c r="H117" t="s">
        <v>36</v>
      </c>
      <c r="I117" t="s">
        <v>77</v>
      </c>
    </row>
    <row r="118" spans="1:9" x14ac:dyDescent="0.3">
      <c r="A118" t="s">
        <v>232</v>
      </c>
      <c r="B118" t="s">
        <v>54</v>
      </c>
      <c r="C118" t="s">
        <v>42</v>
      </c>
      <c r="D118" t="s">
        <v>64</v>
      </c>
      <c r="E118">
        <v>38837</v>
      </c>
      <c r="F118" s="2">
        <v>42820</v>
      </c>
      <c r="G118">
        <v>5</v>
      </c>
      <c r="H118" t="s">
        <v>36</v>
      </c>
      <c r="I118" t="s">
        <v>157</v>
      </c>
    </row>
    <row r="119" spans="1:9" x14ac:dyDescent="0.3">
      <c r="A119" t="s">
        <v>233</v>
      </c>
      <c r="B119" t="s">
        <v>54</v>
      </c>
      <c r="C119" t="s">
        <v>42</v>
      </c>
      <c r="E119">
        <v>73483</v>
      </c>
      <c r="F119" s="2">
        <v>42827</v>
      </c>
      <c r="G119">
        <v>1</v>
      </c>
      <c r="I119" t="s">
        <v>234</v>
      </c>
    </row>
    <row r="120" spans="1:9" x14ac:dyDescent="0.3">
      <c r="A120" t="s">
        <v>235</v>
      </c>
      <c r="B120" t="s">
        <v>41</v>
      </c>
      <c r="C120" t="s">
        <v>26</v>
      </c>
      <c r="D120" t="s">
        <v>35</v>
      </c>
      <c r="E120">
        <v>95032</v>
      </c>
      <c r="F120" s="2">
        <v>42834</v>
      </c>
      <c r="G120">
        <v>3</v>
      </c>
      <c r="I120" t="s">
        <v>236</v>
      </c>
    </row>
    <row r="121" spans="1:9" x14ac:dyDescent="0.3">
      <c r="A121" t="s">
        <v>237</v>
      </c>
      <c r="B121" t="s">
        <v>16</v>
      </c>
      <c r="C121" t="s">
        <v>26</v>
      </c>
      <c r="D121" t="s">
        <v>64</v>
      </c>
      <c r="E121">
        <v>44358</v>
      </c>
      <c r="F121" s="2">
        <v>42841</v>
      </c>
      <c r="H121" t="s">
        <v>36</v>
      </c>
      <c r="I121" t="s">
        <v>71</v>
      </c>
    </row>
    <row r="122" spans="1:9" x14ac:dyDescent="0.3">
      <c r="A122" t="s">
        <v>238</v>
      </c>
      <c r="C122" t="s">
        <v>34</v>
      </c>
      <c r="D122" t="s">
        <v>27</v>
      </c>
      <c r="E122" t="s">
        <v>12</v>
      </c>
      <c r="G122">
        <v>5</v>
      </c>
      <c r="H122" t="s">
        <v>13</v>
      </c>
      <c r="I122" t="s">
        <v>239</v>
      </c>
    </row>
    <row r="123" spans="1:9" x14ac:dyDescent="0.3">
      <c r="A123" t="s">
        <v>240</v>
      </c>
      <c r="B123" t="s">
        <v>41</v>
      </c>
      <c r="C123" t="s">
        <v>26</v>
      </c>
      <c r="D123" t="s">
        <v>27</v>
      </c>
      <c r="E123">
        <v>45676</v>
      </c>
      <c r="F123" s="2">
        <v>42855</v>
      </c>
      <c r="G123">
        <v>2</v>
      </c>
      <c r="I123" t="s">
        <v>241</v>
      </c>
    </row>
    <row r="124" spans="1:9" x14ac:dyDescent="0.3">
      <c r="A124" t="s">
        <v>242</v>
      </c>
      <c r="B124" t="s">
        <v>54</v>
      </c>
      <c r="C124" t="s">
        <v>26</v>
      </c>
      <c r="D124" t="s">
        <v>18</v>
      </c>
      <c r="E124">
        <v>52036</v>
      </c>
      <c r="F124" s="2">
        <v>42862</v>
      </c>
      <c r="G124">
        <v>3</v>
      </c>
      <c r="H124" t="s">
        <v>28</v>
      </c>
      <c r="I124" t="s">
        <v>243</v>
      </c>
    </row>
    <row r="125" spans="1:9" x14ac:dyDescent="0.3">
      <c r="A125" t="s">
        <v>244</v>
      </c>
      <c r="B125" t="s">
        <v>31</v>
      </c>
      <c r="D125" t="s">
        <v>18</v>
      </c>
      <c r="E125">
        <v>30357</v>
      </c>
      <c r="F125" s="2">
        <v>42869</v>
      </c>
      <c r="G125">
        <v>5</v>
      </c>
      <c r="H125" t="s">
        <v>28</v>
      </c>
      <c r="I125" t="s">
        <v>182</v>
      </c>
    </row>
    <row r="126" spans="1:9" x14ac:dyDescent="0.3">
      <c r="A126" t="s">
        <v>245</v>
      </c>
      <c r="B126" t="s">
        <v>25</v>
      </c>
      <c r="C126" t="s">
        <v>34</v>
      </c>
      <c r="E126">
        <v>60034</v>
      </c>
      <c r="F126" s="2">
        <v>42876</v>
      </c>
      <c r="G126">
        <v>1</v>
      </c>
      <c r="H126" t="s">
        <v>36</v>
      </c>
      <c r="I126" t="s">
        <v>246</v>
      </c>
    </row>
    <row r="127" spans="1:9" x14ac:dyDescent="0.3">
      <c r="A127" t="s">
        <v>247</v>
      </c>
      <c r="B127" t="s">
        <v>25</v>
      </c>
      <c r="C127" t="s">
        <v>10</v>
      </c>
      <c r="D127" t="s">
        <v>11</v>
      </c>
      <c r="E127">
        <v>90019</v>
      </c>
      <c r="F127" s="2">
        <v>42883</v>
      </c>
      <c r="G127">
        <v>5</v>
      </c>
      <c r="I127" t="s">
        <v>248</v>
      </c>
    </row>
    <row r="128" spans="1:9" x14ac:dyDescent="0.3">
      <c r="A128" t="s">
        <v>249</v>
      </c>
      <c r="B128" t="s">
        <v>54</v>
      </c>
      <c r="D128" t="s">
        <v>18</v>
      </c>
      <c r="E128">
        <v>71494</v>
      </c>
      <c r="F128" s="2">
        <v>42890</v>
      </c>
      <c r="G128">
        <v>3</v>
      </c>
      <c r="H128" t="s">
        <v>28</v>
      </c>
      <c r="I128" t="s">
        <v>250</v>
      </c>
    </row>
    <row r="129" spans="1:9" x14ac:dyDescent="0.3">
      <c r="A129" t="s">
        <v>251</v>
      </c>
      <c r="B129" t="s">
        <v>25</v>
      </c>
      <c r="C129" t="s">
        <v>10</v>
      </c>
      <c r="D129" t="s">
        <v>27</v>
      </c>
      <c r="E129">
        <v>91953</v>
      </c>
      <c r="F129" s="2">
        <v>42897</v>
      </c>
      <c r="G129">
        <v>2</v>
      </c>
      <c r="H129" t="s">
        <v>28</v>
      </c>
      <c r="I129" t="s">
        <v>89</v>
      </c>
    </row>
    <row r="130" spans="1:9" x14ac:dyDescent="0.3">
      <c r="A130" t="s">
        <v>252</v>
      </c>
      <c r="B130" t="s">
        <v>41</v>
      </c>
      <c r="C130" t="s">
        <v>26</v>
      </c>
      <c r="D130" t="s">
        <v>27</v>
      </c>
      <c r="E130">
        <v>30402</v>
      </c>
      <c r="F130" s="2">
        <v>42904</v>
      </c>
      <c r="G130">
        <v>1</v>
      </c>
      <c r="I130" t="s">
        <v>253</v>
      </c>
    </row>
    <row r="131" spans="1:9" x14ac:dyDescent="0.3">
      <c r="A131" t="s">
        <v>254</v>
      </c>
      <c r="B131" t="s">
        <v>54</v>
      </c>
      <c r="D131" t="s">
        <v>47</v>
      </c>
      <c r="E131">
        <v>62994</v>
      </c>
      <c r="F131" s="2">
        <v>42911</v>
      </c>
      <c r="I131" t="s">
        <v>114</v>
      </c>
    </row>
    <row r="132" spans="1:9" x14ac:dyDescent="0.3">
      <c r="A132" t="s">
        <v>255</v>
      </c>
      <c r="B132" t="s">
        <v>22</v>
      </c>
      <c r="C132" t="s">
        <v>26</v>
      </c>
      <c r="D132" t="s">
        <v>35</v>
      </c>
      <c r="E132">
        <v>48289</v>
      </c>
      <c r="G132">
        <v>3</v>
      </c>
      <c r="H132" t="s">
        <v>28</v>
      </c>
      <c r="I132" t="s">
        <v>45</v>
      </c>
    </row>
    <row r="133" spans="1:9" x14ac:dyDescent="0.3">
      <c r="A133" t="s">
        <v>256</v>
      </c>
      <c r="B133" t="s">
        <v>39</v>
      </c>
      <c r="C133" t="s">
        <v>42</v>
      </c>
      <c r="D133" t="s">
        <v>18</v>
      </c>
      <c r="E133">
        <v>34402</v>
      </c>
      <c r="F133" s="2">
        <v>42925</v>
      </c>
      <c r="G133">
        <v>3</v>
      </c>
      <c r="H133" t="s">
        <v>19</v>
      </c>
      <c r="I133" t="s">
        <v>108</v>
      </c>
    </row>
    <row r="134" spans="1:9" x14ac:dyDescent="0.3">
      <c r="A134" t="s">
        <v>257</v>
      </c>
      <c r="B134" t="s">
        <v>16</v>
      </c>
      <c r="C134" t="s">
        <v>17</v>
      </c>
      <c r="D134" t="s">
        <v>27</v>
      </c>
      <c r="E134">
        <v>38678</v>
      </c>
      <c r="F134" s="2">
        <v>42932</v>
      </c>
      <c r="G134">
        <v>3</v>
      </c>
      <c r="H134" t="s">
        <v>19</v>
      </c>
      <c r="I134" t="s">
        <v>258</v>
      </c>
    </row>
    <row r="135" spans="1:9" x14ac:dyDescent="0.3">
      <c r="A135" t="s">
        <v>259</v>
      </c>
      <c r="B135" t="s">
        <v>41</v>
      </c>
      <c r="C135" t="s">
        <v>17</v>
      </c>
      <c r="D135" t="s">
        <v>18</v>
      </c>
      <c r="E135">
        <v>45758</v>
      </c>
      <c r="F135" s="2">
        <v>42939</v>
      </c>
      <c r="G135">
        <v>3</v>
      </c>
      <c r="I135" t="s">
        <v>225</v>
      </c>
    </row>
    <row r="136" spans="1:9" x14ac:dyDescent="0.3">
      <c r="A136" t="s">
        <v>260</v>
      </c>
      <c r="B136" t="s">
        <v>16</v>
      </c>
      <c r="C136" t="s">
        <v>42</v>
      </c>
      <c r="D136" t="s">
        <v>35</v>
      </c>
      <c r="E136">
        <v>62476</v>
      </c>
      <c r="F136" s="2">
        <v>42946</v>
      </c>
      <c r="G136">
        <v>1</v>
      </c>
      <c r="H136" t="s">
        <v>19</v>
      </c>
      <c r="I136" t="s">
        <v>138</v>
      </c>
    </row>
    <row r="137" spans="1:9" x14ac:dyDescent="0.3">
      <c r="A137" t="s">
        <v>261</v>
      </c>
      <c r="C137" t="s">
        <v>34</v>
      </c>
      <c r="D137" t="s">
        <v>47</v>
      </c>
      <c r="E137">
        <v>39280</v>
      </c>
      <c r="F137" s="2">
        <v>42953</v>
      </c>
      <c r="G137">
        <v>3</v>
      </c>
      <c r="H137" t="s">
        <v>36</v>
      </c>
      <c r="I137" t="s">
        <v>99</v>
      </c>
    </row>
    <row r="138" spans="1:9" x14ac:dyDescent="0.3">
      <c r="A138" t="s">
        <v>262</v>
      </c>
      <c r="B138" t="s">
        <v>31</v>
      </c>
      <c r="C138" t="s">
        <v>10</v>
      </c>
      <c r="D138" t="s">
        <v>35</v>
      </c>
      <c r="E138">
        <v>60335</v>
      </c>
      <c r="F138" s="2">
        <v>42960</v>
      </c>
      <c r="G138">
        <v>4</v>
      </c>
      <c r="H138" t="s">
        <v>19</v>
      </c>
      <c r="I138" t="s">
        <v>129</v>
      </c>
    </row>
    <row r="139" spans="1:9" x14ac:dyDescent="0.3">
      <c r="A139" t="s">
        <v>263</v>
      </c>
      <c r="B139" t="s">
        <v>41</v>
      </c>
      <c r="C139" t="s">
        <v>17</v>
      </c>
      <c r="D139" t="s">
        <v>18</v>
      </c>
      <c r="E139">
        <v>84968</v>
      </c>
      <c r="F139" s="2">
        <v>42967</v>
      </c>
      <c r="I139" t="s">
        <v>264</v>
      </c>
    </row>
    <row r="140" spans="1:9" x14ac:dyDescent="0.3">
      <c r="A140" t="s">
        <v>265</v>
      </c>
      <c r="B140" t="s">
        <v>41</v>
      </c>
      <c r="C140" t="s">
        <v>42</v>
      </c>
      <c r="D140" t="s">
        <v>64</v>
      </c>
      <c r="E140">
        <v>84750</v>
      </c>
      <c r="F140" s="2">
        <v>42974</v>
      </c>
      <c r="G140">
        <v>4</v>
      </c>
      <c r="H140" t="s">
        <v>36</v>
      </c>
      <c r="I140" t="s">
        <v>60</v>
      </c>
    </row>
    <row r="141" spans="1:9" x14ac:dyDescent="0.3">
      <c r="A141" t="s">
        <v>266</v>
      </c>
      <c r="B141" t="s">
        <v>54</v>
      </c>
      <c r="C141" t="s">
        <v>34</v>
      </c>
      <c r="E141">
        <v>73348</v>
      </c>
      <c r="F141" s="2">
        <v>42981</v>
      </c>
      <c r="G141">
        <v>2</v>
      </c>
      <c r="I141" t="s">
        <v>171</v>
      </c>
    </row>
    <row r="142" spans="1:9" x14ac:dyDescent="0.3">
      <c r="A142" t="s">
        <v>267</v>
      </c>
      <c r="B142" t="s">
        <v>41</v>
      </c>
      <c r="C142" t="s">
        <v>26</v>
      </c>
      <c r="D142" t="s">
        <v>27</v>
      </c>
      <c r="E142" t="s">
        <v>12</v>
      </c>
      <c r="F142" s="2">
        <v>42988</v>
      </c>
      <c r="G142">
        <v>4</v>
      </c>
      <c r="H142" t="s">
        <v>19</v>
      </c>
      <c r="I142" t="s">
        <v>14</v>
      </c>
    </row>
    <row r="143" spans="1:9" x14ac:dyDescent="0.3">
      <c r="A143" t="s">
        <v>268</v>
      </c>
      <c r="B143" t="s">
        <v>31</v>
      </c>
      <c r="C143" t="s">
        <v>42</v>
      </c>
      <c r="D143" t="s">
        <v>27</v>
      </c>
      <c r="E143">
        <v>66882</v>
      </c>
      <c r="F143" s="2">
        <v>42995</v>
      </c>
      <c r="G143">
        <v>5</v>
      </c>
      <c r="H143" t="s">
        <v>19</v>
      </c>
      <c r="I143" t="s">
        <v>85</v>
      </c>
    </row>
    <row r="144" spans="1:9" x14ac:dyDescent="0.3">
      <c r="A144" t="s">
        <v>269</v>
      </c>
      <c r="B144" t="s">
        <v>22</v>
      </c>
      <c r="C144" t="s">
        <v>42</v>
      </c>
      <c r="E144">
        <v>86775</v>
      </c>
      <c r="F144" s="2">
        <v>43002</v>
      </c>
      <c r="G144">
        <v>3</v>
      </c>
      <c r="H144" t="s">
        <v>19</v>
      </c>
      <c r="I144" t="s">
        <v>95</v>
      </c>
    </row>
    <row r="145" spans="1:9" x14ac:dyDescent="0.3">
      <c r="A145" t="s">
        <v>270</v>
      </c>
      <c r="B145" t="s">
        <v>41</v>
      </c>
      <c r="C145" t="s">
        <v>26</v>
      </c>
      <c r="D145" t="s">
        <v>47</v>
      </c>
      <c r="E145">
        <v>91620</v>
      </c>
      <c r="F145" s="2">
        <v>43009</v>
      </c>
      <c r="I145" t="s">
        <v>271</v>
      </c>
    </row>
    <row r="146" spans="1:9" x14ac:dyDescent="0.3">
      <c r="A146" t="s">
        <v>272</v>
      </c>
      <c r="B146" t="s">
        <v>16</v>
      </c>
      <c r="E146">
        <v>94148</v>
      </c>
      <c r="F146" s="2">
        <v>43016</v>
      </c>
      <c r="G146">
        <v>2</v>
      </c>
      <c r="I146" t="s">
        <v>273</v>
      </c>
    </row>
    <row r="147" spans="1:9" x14ac:dyDescent="0.3">
      <c r="A147" t="s">
        <v>274</v>
      </c>
      <c r="B147" t="s">
        <v>39</v>
      </c>
      <c r="C147" t="s">
        <v>26</v>
      </c>
      <c r="D147" t="s">
        <v>64</v>
      </c>
      <c r="E147">
        <v>35627</v>
      </c>
      <c r="F147" s="2">
        <v>43023</v>
      </c>
      <c r="G147">
        <v>5</v>
      </c>
      <c r="H147" t="s">
        <v>36</v>
      </c>
      <c r="I147" t="s">
        <v>258</v>
      </c>
    </row>
    <row r="148" spans="1:9" x14ac:dyDescent="0.3">
      <c r="A148" t="s">
        <v>275</v>
      </c>
      <c r="B148" t="s">
        <v>25</v>
      </c>
      <c r="C148" t="s">
        <v>42</v>
      </c>
      <c r="D148" t="s">
        <v>27</v>
      </c>
      <c r="E148">
        <v>57141</v>
      </c>
      <c r="F148" s="2">
        <v>43030</v>
      </c>
      <c r="G148">
        <v>2</v>
      </c>
      <c r="I148" t="s">
        <v>264</v>
      </c>
    </row>
    <row r="149" spans="1:9" x14ac:dyDescent="0.3">
      <c r="A149" t="s">
        <v>276</v>
      </c>
      <c r="B149" t="s">
        <v>54</v>
      </c>
      <c r="C149" t="s">
        <v>26</v>
      </c>
      <c r="D149" t="s">
        <v>64</v>
      </c>
      <c r="E149">
        <v>65270</v>
      </c>
      <c r="F149" s="2">
        <v>43037</v>
      </c>
      <c r="G149">
        <v>1</v>
      </c>
      <c r="I149" t="s">
        <v>277</v>
      </c>
    </row>
    <row r="150" spans="1:9" x14ac:dyDescent="0.3">
      <c r="A150" t="s">
        <v>278</v>
      </c>
      <c r="B150" t="s">
        <v>54</v>
      </c>
      <c r="D150" t="s">
        <v>47</v>
      </c>
      <c r="E150">
        <v>67335</v>
      </c>
      <c r="F150" s="2">
        <v>43044</v>
      </c>
      <c r="G150">
        <v>1</v>
      </c>
      <c r="H150" t="s">
        <v>19</v>
      </c>
      <c r="I150" t="s">
        <v>144</v>
      </c>
    </row>
    <row r="151" spans="1:9" x14ac:dyDescent="0.3">
      <c r="A151" t="s">
        <v>279</v>
      </c>
      <c r="B151" t="s">
        <v>39</v>
      </c>
      <c r="C151" t="s">
        <v>42</v>
      </c>
      <c r="D151" t="s">
        <v>35</v>
      </c>
      <c r="E151">
        <v>98475</v>
      </c>
      <c r="F151" s="2">
        <v>43051</v>
      </c>
      <c r="G151">
        <v>5</v>
      </c>
      <c r="H151" t="s">
        <v>19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F9526-D779-44E3-B542-F2B949E6D6E8}">
  <dimension ref="A1:N142"/>
  <sheetViews>
    <sheetView tabSelected="1" workbookViewId="0"/>
  </sheetViews>
  <sheetFormatPr defaultRowHeight="14.4" x14ac:dyDescent="0.3"/>
  <cols>
    <col min="1" max="1" width="15.6640625" bestFit="1" customWidth="1"/>
    <col min="2" max="2" width="11" bestFit="1" customWidth="1"/>
    <col min="3" max="3" width="15.44140625" bestFit="1" customWidth="1"/>
    <col min="4" max="4" width="11.88671875" bestFit="1" customWidth="1"/>
    <col min="5" max="5" width="10.6640625" bestFit="1" customWidth="1"/>
    <col min="6" max="6" width="17.6640625" bestFit="1" customWidth="1"/>
    <col min="7" max="7" width="21.88671875" bestFit="1" customWidth="1"/>
    <col min="8" max="8" width="11.5546875" bestFit="1" customWidth="1"/>
    <col min="9" max="9" width="20.33203125" bestFit="1" customWidth="1"/>
    <col min="10" max="10" width="19.44140625" bestFit="1" customWidth="1"/>
    <col min="11" max="11" width="18" bestFit="1" customWidth="1"/>
    <col min="12" max="12" width="13.109375" bestFit="1" customWidth="1"/>
    <col min="13" max="13" width="10.88671875" customWidth="1"/>
    <col min="14" max="14" width="19.6640625" bestFit="1" customWidth="1"/>
  </cols>
  <sheetData>
    <row r="1" spans="1:14" x14ac:dyDescent="0.3">
      <c r="A1" s="3" t="s">
        <v>281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282</v>
      </c>
      <c r="G1" s="3" t="s">
        <v>6</v>
      </c>
      <c r="H1" s="3" t="s">
        <v>7</v>
      </c>
      <c r="I1" s="3" t="s">
        <v>8</v>
      </c>
      <c r="J1" s="13" t="s">
        <v>283</v>
      </c>
      <c r="K1" s="14" t="s">
        <v>284</v>
      </c>
      <c r="L1" s="14" t="s">
        <v>285</v>
      </c>
      <c r="M1" s="14" t="s">
        <v>286</v>
      </c>
      <c r="N1" s="14" t="s">
        <v>287</v>
      </c>
    </row>
    <row r="2" spans="1:14" x14ac:dyDescent="0.3">
      <c r="A2" t="s">
        <v>15</v>
      </c>
      <c r="B2" t="s">
        <v>16</v>
      </c>
      <c r="C2" t="s">
        <v>17</v>
      </c>
      <c r="D2" t="s">
        <v>18</v>
      </c>
      <c r="E2" s="4">
        <v>54255</v>
      </c>
      <c r="F2" s="5">
        <v>42015</v>
      </c>
      <c r="G2" s="6">
        <v>1</v>
      </c>
      <c r="H2" t="s">
        <v>19</v>
      </c>
      <c r="I2" t="s">
        <v>20</v>
      </c>
      <c r="J2" s="7">
        <f t="shared" ref="J2:J33" si="0">MONTH(F2)</f>
        <v>1</v>
      </c>
      <c r="K2" s="8">
        <f>YEAR(F2)</f>
        <v>2015</v>
      </c>
      <c r="L2" s="9">
        <f>WEEKDAY(F2)</f>
        <v>1</v>
      </c>
      <c r="M2" s="9" t="str">
        <f>TEXT(F2,"dddd")</f>
        <v>Sunday</v>
      </c>
      <c r="N2" s="9">
        <f ca="1">DATEDIF(F2,TODAY(),"Y")</f>
        <v>11</v>
      </c>
    </row>
    <row r="3" spans="1:14" x14ac:dyDescent="0.3">
      <c r="A3" t="s">
        <v>21</v>
      </c>
      <c r="B3" t="s">
        <v>22</v>
      </c>
      <c r="C3" t="s">
        <v>10</v>
      </c>
      <c r="D3" t="s">
        <v>18</v>
      </c>
      <c r="E3" s="4">
        <v>63184</v>
      </c>
      <c r="F3" s="5">
        <v>42022</v>
      </c>
      <c r="G3" s="6">
        <v>2</v>
      </c>
      <c r="H3" t="s">
        <v>36</v>
      </c>
      <c r="I3" t="s">
        <v>23</v>
      </c>
      <c r="J3" s="7">
        <f t="shared" si="0"/>
        <v>1</v>
      </c>
      <c r="K3" s="10">
        <f t="shared" ref="K3:K66" si="1">YEAR(F3)</f>
        <v>2015</v>
      </c>
      <c r="L3" s="11">
        <f t="shared" ref="L3:L66" si="2">WEEKDAY(F3)</f>
        <v>1</v>
      </c>
      <c r="M3" s="11" t="str">
        <f t="shared" ref="M3:M66" si="3">TEXT(F3,"dddd")</f>
        <v>Sunday</v>
      </c>
      <c r="N3" s="11">
        <f t="shared" ref="N3:N66" ca="1" si="4">DATEDIF(F3,TODAY(),"Y")</f>
        <v>11</v>
      </c>
    </row>
    <row r="4" spans="1:14" x14ac:dyDescent="0.3">
      <c r="A4" t="s">
        <v>24</v>
      </c>
      <c r="B4" t="s">
        <v>25</v>
      </c>
      <c r="C4" t="s">
        <v>26</v>
      </c>
      <c r="D4" t="s">
        <v>27</v>
      </c>
      <c r="E4" s="4">
        <v>94406</v>
      </c>
      <c r="F4" s="5">
        <v>42029</v>
      </c>
      <c r="G4" s="6">
        <v>1</v>
      </c>
      <c r="H4" t="s">
        <v>28</v>
      </c>
      <c r="I4" t="s">
        <v>29</v>
      </c>
      <c r="J4" s="7">
        <f t="shared" si="0"/>
        <v>1</v>
      </c>
      <c r="K4" s="8">
        <f t="shared" si="1"/>
        <v>2015</v>
      </c>
      <c r="L4" s="9">
        <f t="shared" si="2"/>
        <v>1</v>
      </c>
      <c r="M4" s="9" t="str">
        <f t="shared" si="3"/>
        <v>Sunday</v>
      </c>
      <c r="N4" s="9">
        <f t="shared" ca="1" si="4"/>
        <v>11</v>
      </c>
    </row>
    <row r="5" spans="1:14" x14ac:dyDescent="0.3">
      <c r="A5" t="s">
        <v>30</v>
      </c>
      <c r="B5" t="s">
        <v>31</v>
      </c>
      <c r="C5" t="s">
        <v>26</v>
      </c>
      <c r="D5" t="s">
        <v>18</v>
      </c>
      <c r="E5" s="4">
        <v>64120</v>
      </c>
      <c r="F5" s="5">
        <v>42036</v>
      </c>
      <c r="G5" s="6">
        <v>1</v>
      </c>
      <c r="H5" t="s">
        <v>28</v>
      </c>
      <c r="I5" t="s">
        <v>32</v>
      </c>
      <c r="J5" s="7">
        <f t="shared" si="0"/>
        <v>2</v>
      </c>
      <c r="K5" s="10">
        <f t="shared" si="1"/>
        <v>2015</v>
      </c>
      <c r="L5" s="11">
        <f t="shared" si="2"/>
        <v>1</v>
      </c>
      <c r="M5" s="11" t="str">
        <f t="shared" si="3"/>
        <v>Sunday</v>
      </c>
      <c r="N5" s="11">
        <f t="shared" ca="1" si="4"/>
        <v>10</v>
      </c>
    </row>
    <row r="6" spans="1:14" x14ac:dyDescent="0.3">
      <c r="A6" t="s">
        <v>33</v>
      </c>
      <c r="B6" t="s">
        <v>22</v>
      </c>
      <c r="C6" t="s">
        <v>34</v>
      </c>
      <c r="D6" t="s">
        <v>35</v>
      </c>
      <c r="E6" s="4">
        <v>78421</v>
      </c>
      <c r="F6" s="5">
        <v>42043</v>
      </c>
      <c r="G6" s="6">
        <v>2</v>
      </c>
      <c r="H6" t="s">
        <v>36</v>
      </c>
      <c r="I6" t="s">
        <v>37</v>
      </c>
      <c r="J6" s="7">
        <f t="shared" si="0"/>
        <v>2</v>
      </c>
      <c r="K6" s="8">
        <f t="shared" si="1"/>
        <v>2015</v>
      </c>
      <c r="L6" s="9">
        <f t="shared" si="2"/>
        <v>1</v>
      </c>
      <c r="M6" s="9" t="str">
        <f t="shared" si="3"/>
        <v>Sunday</v>
      </c>
      <c r="N6" s="9">
        <f t="shared" ca="1" si="4"/>
        <v>10</v>
      </c>
    </row>
    <row r="7" spans="1:14" x14ac:dyDescent="0.3">
      <c r="A7" t="s">
        <v>38</v>
      </c>
      <c r="B7" t="s">
        <v>39</v>
      </c>
      <c r="C7" t="s">
        <v>26</v>
      </c>
      <c r="D7" t="s">
        <v>35</v>
      </c>
      <c r="E7" s="4">
        <v>67721</v>
      </c>
      <c r="F7" s="5">
        <v>42050</v>
      </c>
      <c r="G7" s="6">
        <v>2</v>
      </c>
      <c r="H7" t="s">
        <v>28</v>
      </c>
      <c r="I7" t="s">
        <v>29</v>
      </c>
      <c r="J7" s="7">
        <f t="shared" si="0"/>
        <v>2</v>
      </c>
      <c r="K7" s="10">
        <f t="shared" si="1"/>
        <v>2015</v>
      </c>
      <c r="L7" s="11">
        <f t="shared" si="2"/>
        <v>1</v>
      </c>
      <c r="M7" s="11" t="str">
        <f t="shared" si="3"/>
        <v>Sunday</v>
      </c>
      <c r="N7" s="11">
        <f t="shared" ca="1" si="4"/>
        <v>10</v>
      </c>
    </row>
    <row r="8" spans="1:14" x14ac:dyDescent="0.3">
      <c r="A8" t="s">
        <v>40</v>
      </c>
      <c r="B8" t="s">
        <v>41</v>
      </c>
      <c r="C8" t="s">
        <v>42</v>
      </c>
      <c r="D8" t="s">
        <v>35</v>
      </c>
      <c r="E8" s="4">
        <v>35364</v>
      </c>
      <c r="F8" s="5">
        <v>42057</v>
      </c>
      <c r="G8" s="6">
        <v>2</v>
      </c>
      <c r="H8" t="s">
        <v>19</v>
      </c>
      <c r="I8" t="s">
        <v>43</v>
      </c>
      <c r="J8" s="7">
        <f t="shared" si="0"/>
        <v>2</v>
      </c>
      <c r="K8" s="8">
        <f t="shared" si="1"/>
        <v>2015</v>
      </c>
      <c r="L8" s="9">
        <f t="shared" si="2"/>
        <v>1</v>
      </c>
      <c r="M8" s="9" t="str">
        <f t="shared" si="3"/>
        <v>Sunday</v>
      </c>
      <c r="N8" s="9">
        <f t="shared" ca="1" si="4"/>
        <v>10</v>
      </c>
    </row>
    <row r="9" spans="1:14" x14ac:dyDescent="0.3">
      <c r="A9" t="s">
        <v>44</v>
      </c>
      <c r="B9" t="s">
        <v>22</v>
      </c>
      <c r="C9" t="s">
        <v>34</v>
      </c>
      <c r="D9" t="s">
        <v>18</v>
      </c>
      <c r="E9" s="4">
        <v>97881</v>
      </c>
      <c r="F9" s="5">
        <v>42064</v>
      </c>
      <c r="G9" s="6">
        <v>2</v>
      </c>
      <c r="H9" t="s">
        <v>36</v>
      </c>
      <c r="I9" t="s">
        <v>45</v>
      </c>
      <c r="J9" s="7">
        <f t="shared" si="0"/>
        <v>3</v>
      </c>
      <c r="K9" s="10">
        <f t="shared" si="1"/>
        <v>2015</v>
      </c>
      <c r="L9" s="11">
        <f t="shared" si="2"/>
        <v>1</v>
      </c>
      <c r="M9" s="11" t="str">
        <f t="shared" si="3"/>
        <v>Sunday</v>
      </c>
      <c r="N9" s="11">
        <f t="shared" ca="1" si="4"/>
        <v>10</v>
      </c>
    </row>
    <row r="10" spans="1:14" x14ac:dyDescent="0.3">
      <c r="A10" t="s">
        <v>46</v>
      </c>
      <c r="B10" t="s">
        <v>41</v>
      </c>
      <c r="C10" t="s">
        <v>17</v>
      </c>
      <c r="D10" t="s">
        <v>47</v>
      </c>
      <c r="E10" s="4">
        <v>91846</v>
      </c>
      <c r="F10" s="5">
        <v>42071</v>
      </c>
      <c r="G10" s="6">
        <v>2</v>
      </c>
      <c r="H10" t="s">
        <v>28</v>
      </c>
      <c r="I10" t="s">
        <v>48</v>
      </c>
      <c r="J10" s="7">
        <f t="shared" si="0"/>
        <v>3</v>
      </c>
      <c r="K10" s="8">
        <f t="shared" si="1"/>
        <v>2015</v>
      </c>
      <c r="L10" s="9">
        <f t="shared" si="2"/>
        <v>1</v>
      </c>
      <c r="M10" s="9" t="str">
        <f t="shared" si="3"/>
        <v>Sunday</v>
      </c>
      <c r="N10" s="9">
        <f t="shared" ca="1" si="4"/>
        <v>10</v>
      </c>
    </row>
    <row r="11" spans="1:14" x14ac:dyDescent="0.3">
      <c r="A11" t="s">
        <v>49</v>
      </c>
      <c r="B11" t="s">
        <v>39</v>
      </c>
      <c r="C11" t="s">
        <v>10</v>
      </c>
      <c r="D11" t="s">
        <v>47</v>
      </c>
      <c r="E11" s="4">
        <v>64247</v>
      </c>
      <c r="F11" s="5">
        <v>42078</v>
      </c>
      <c r="G11" s="6">
        <v>1</v>
      </c>
      <c r="H11" t="s">
        <v>36</v>
      </c>
      <c r="I11" t="s">
        <v>50</v>
      </c>
      <c r="J11" s="7">
        <f t="shared" si="0"/>
        <v>3</v>
      </c>
      <c r="K11" s="10">
        <f t="shared" si="1"/>
        <v>2015</v>
      </c>
      <c r="L11" s="11">
        <f t="shared" si="2"/>
        <v>1</v>
      </c>
      <c r="M11" s="11" t="str">
        <f t="shared" si="3"/>
        <v>Sunday</v>
      </c>
      <c r="N11" s="11">
        <f t="shared" ca="1" si="4"/>
        <v>10</v>
      </c>
    </row>
    <row r="12" spans="1:14" x14ac:dyDescent="0.3">
      <c r="A12" t="s">
        <v>51</v>
      </c>
      <c r="B12" t="s">
        <v>39</v>
      </c>
      <c r="C12" t="s">
        <v>34</v>
      </c>
      <c r="D12" t="s">
        <v>27</v>
      </c>
      <c r="E12" s="4">
        <v>91180</v>
      </c>
      <c r="F12" s="5">
        <v>42085</v>
      </c>
      <c r="G12" s="6">
        <v>5</v>
      </c>
      <c r="H12" t="s">
        <v>28</v>
      </c>
      <c r="I12" t="s">
        <v>52</v>
      </c>
      <c r="J12" s="7">
        <f t="shared" si="0"/>
        <v>3</v>
      </c>
      <c r="K12" s="8">
        <f t="shared" si="1"/>
        <v>2015</v>
      </c>
      <c r="L12" s="9">
        <f t="shared" si="2"/>
        <v>1</v>
      </c>
      <c r="M12" s="9" t="str">
        <f t="shared" si="3"/>
        <v>Sunday</v>
      </c>
      <c r="N12" s="9">
        <f t="shared" ca="1" si="4"/>
        <v>10</v>
      </c>
    </row>
    <row r="13" spans="1:14" x14ac:dyDescent="0.3">
      <c r="A13" t="s">
        <v>53</v>
      </c>
      <c r="B13" t="s">
        <v>54</v>
      </c>
      <c r="C13" t="s">
        <v>26</v>
      </c>
      <c r="D13" t="s">
        <v>35</v>
      </c>
      <c r="E13" s="4">
        <v>96418</v>
      </c>
      <c r="F13" s="5">
        <v>42092</v>
      </c>
      <c r="G13" s="6">
        <v>5</v>
      </c>
      <c r="H13" t="s">
        <v>28</v>
      </c>
      <c r="I13" t="s">
        <v>20</v>
      </c>
      <c r="J13" s="7">
        <f t="shared" si="0"/>
        <v>3</v>
      </c>
      <c r="K13" s="10">
        <f t="shared" si="1"/>
        <v>2015</v>
      </c>
      <c r="L13" s="11">
        <f t="shared" si="2"/>
        <v>1</v>
      </c>
      <c r="M13" s="11" t="str">
        <f t="shared" si="3"/>
        <v>Sunday</v>
      </c>
      <c r="N13" s="11">
        <f t="shared" ca="1" si="4"/>
        <v>10</v>
      </c>
    </row>
    <row r="14" spans="1:14" x14ac:dyDescent="0.3">
      <c r="A14" t="s">
        <v>55</v>
      </c>
      <c r="B14" t="s">
        <v>39</v>
      </c>
      <c r="C14" t="s">
        <v>42</v>
      </c>
      <c r="D14" t="s">
        <v>35</v>
      </c>
      <c r="E14" s="4">
        <v>62158</v>
      </c>
      <c r="F14" s="5">
        <v>42099</v>
      </c>
      <c r="G14" s="6">
        <v>4</v>
      </c>
      <c r="H14" t="s">
        <v>36</v>
      </c>
      <c r="I14" t="s">
        <v>56</v>
      </c>
      <c r="J14" s="7">
        <f t="shared" si="0"/>
        <v>4</v>
      </c>
      <c r="K14" s="8">
        <f t="shared" si="1"/>
        <v>2015</v>
      </c>
      <c r="L14" s="9">
        <f t="shared" si="2"/>
        <v>1</v>
      </c>
      <c r="M14" s="9" t="str">
        <f t="shared" si="3"/>
        <v>Sunday</v>
      </c>
      <c r="N14" s="9">
        <f t="shared" ca="1" si="4"/>
        <v>10</v>
      </c>
    </row>
    <row r="15" spans="1:14" x14ac:dyDescent="0.3">
      <c r="A15" t="s">
        <v>57</v>
      </c>
      <c r="B15" t="s">
        <v>31</v>
      </c>
      <c r="C15" t="s">
        <v>17</v>
      </c>
      <c r="D15" t="s">
        <v>35</v>
      </c>
      <c r="E15" s="4">
        <v>59894</v>
      </c>
      <c r="F15" s="5">
        <v>42106</v>
      </c>
      <c r="G15" s="6">
        <v>2</v>
      </c>
      <c r="H15" t="s">
        <v>28</v>
      </c>
      <c r="I15" t="s">
        <v>58</v>
      </c>
      <c r="J15" s="7">
        <f t="shared" si="0"/>
        <v>4</v>
      </c>
      <c r="K15" s="10">
        <f t="shared" si="1"/>
        <v>2015</v>
      </c>
      <c r="L15" s="11">
        <f t="shared" si="2"/>
        <v>1</v>
      </c>
      <c r="M15" s="11" t="str">
        <f t="shared" si="3"/>
        <v>Sunday</v>
      </c>
      <c r="N15" s="11">
        <f t="shared" ca="1" si="4"/>
        <v>10</v>
      </c>
    </row>
    <row r="16" spans="1:14" x14ac:dyDescent="0.3">
      <c r="A16" t="s">
        <v>59</v>
      </c>
      <c r="B16" t="s">
        <v>13</v>
      </c>
      <c r="C16" t="s">
        <v>34</v>
      </c>
      <c r="D16" t="s">
        <v>35</v>
      </c>
      <c r="E16" s="4">
        <v>92443</v>
      </c>
      <c r="F16" s="5">
        <v>42113</v>
      </c>
      <c r="G16" s="6">
        <v>3</v>
      </c>
      <c r="H16" t="s">
        <v>19</v>
      </c>
      <c r="I16" t="s">
        <v>60</v>
      </c>
      <c r="J16" s="7">
        <f t="shared" si="0"/>
        <v>4</v>
      </c>
      <c r="K16" s="8">
        <f t="shared" si="1"/>
        <v>2015</v>
      </c>
      <c r="L16" s="9">
        <f t="shared" si="2"/>
        <v>1</v>
      </c>
      <c r="M16" s="9" t="str">
        <f t="shared" si="3"/>
        <v>Sunday</v>
      </c>
      <c r="N16" s="9">
        <f t="shared" ca="1" si="4"/>
        <v>10</v>
      </c>
    </row>
    <row r="17" spans="1:14" x14ac:dyDescent="0.3">
      <c r="A17" t="s">
        <v>61</v>
      </c>
      <c r="B17" t="s">
        <v>54</v>
      </c>
      <c r="C17" t="s">
        <v>42</v>
      </c>
      <c r="D17" t="s">
        <v>18</v>
      </c>
      <c r="E17" s="4">
        <v>90271</v>
      </c>
      <c r="F17" s="5">
        <v>42120</v>
      </c>
      <c r="G17" s="6">
        <v>2</v>
      </c>
      <c r="H17" t="s">
        <v>36</v>
      </c>
      <c r="I17" t="s">
        <v>62</v>
      </c>
      <c r="J17" s="7">
        <f t="shared" si="0"/>
        <v>4</v>
      </c>
      <c r="K17" s="10">
        <f t="shared" si="1"/>
        <v>2015</v>
      </c>
      <c r="L17" s="11">
        <f t="shared" si="2"/>
        <v>1</v>
      </c>
      <c r="M17" s="11" t="str">
        <f t="shared" si="3"/>
        <v>Sunday</v>
      </c>
      <c r="N17" s="11">
        <f t="shared" ca="1" si="4"/>
        <v>10</v>
      </c>
    </row>
    <row r="18" spans="1:14" x14ac:dyDescent="0.3">
      <c r="A18" t="s">
        <v>63</v>
      </c>
      <c r="B18" t="s">
        <v>31</v>
      </c>
      <c r="C18" t="s">
        <v>10</v>
      </c>
      <c r="D18" t="s">
        <v>64</v>
      </c>
      <c r="E18" s="4">
        <v>41341</v>
      </c>
      <c r="F18" s="5">
        <v>42127</v>
      </c>
      <c r="G18" s="6">
        <v>1</v>
      </c>
      <c r="H18" t="s">
        <v>19</v>
      </c>
      <c r="I18" t="s">
        <v>65</v>
      </c>
      <c r="J18" s="7">
        <f t="shared" si="0"/>
        <v>5</v>
      </c>
      <c r="K18" s="8">
        <f t="shared" si="1"/>
        <v>2015</v>
      </c>
      <c r="L18" s="9">
        <f t="shared" si="2"/>
        <v>1</v>
      </c>
      <c r="M18" s="9" t="str">
        <f t="shared" si="3"/>
        <v>Sunday</v>
      </c>
      <c r="N18" s="9">
        <f t="shared" ca="1" si="4"/>
        <v>10</v>
      </c>
    </row>
    <row r="19" spans="1:14" x14ac:dyDescent="0.3">
      <c r="A19" t="s">
        <v>66</v>
      </c>
      <c r="B19" t="s">
        <v>22</v>
      </c>
      <c r="C19" t="s">
        <v>10</v>
      </c>
      <c r="D19" t="s">
        <v>47</v>
      </c>
      <c r="E19" s="4">
        <v>73602</v>
      </c>
      <c r="F19" s="5">
        <v>42134</v>
      </c>
      <c r="G19" s="6">
        <v>2</v>
      </c>
      <c r="H19" t="s">
        <v>36</v>
      </c>
      <c r="I19" t="s">
        <v>67</v>
      </c>
      <c r="J19" s="7">
        <f t="shared" si="0"/>
        <v>5</v>
      </c>
      <c r="K19" s="10">
        <f t="shared" si="1"/>
        <v>2015</v>
      </c>
      <c r="L19" s="11">
        <f t="shared" si="2"/>
        <v>1</v>
      </c>
      <c r="M19" s="11" t="str">
        <f t="shared" si="3"/>
        <v>Sunday</v>
      </c>
      <c r="N19" s="11">
        <f t="shared" ca="1" si="4"/>
        <v>10</v>
      </c>
    </row>
    <row r="20" spans="1:14" x14ac:dyDescent="0.3">
      <c r="A20" t="s">
        <v>68</v>
      </c>
      <c r="B20" t="s">
        <v>16</v>
      </c>
      <c r="C20" t="s">
        <v>42</v>
      </c>
      <c r="D20" t="s">
        <v>35</v>
      </c>
      <c r="E20" s="4">
        <v>67531</v>
      </c>
      <c r="F20" s="5">
        <v>42141</v>
      </c>
      <c r="G20" s="6">
        <v>5</v>
      </c>
      <c r="H20" t="s">
        <v>36</v>
      </c>
      <c r="I20" t="s">
        <v>69</v>
      </c>
      <c r="J20" s="7">
        <f t="shared" si="0"/>
        <v>5</v>
      </c>
      <c r="K20" s="8">
        <f t="shared" si="1"/>
        <v>2015</v>
      </c>
      <c r="L20" s="9">
        <f t="shared" si="2"/>
        <v>1</v>
      </c>
      <c r="M20" s="9" t="str">
        <f t="shared" si="3"/>
        <v>Sunday</v>
      </c>
      <c r="N20" s="9">
        <f t="shared" ca="1" si="4"/>
        <v>10</v>
      </c>
    </row>
    <row r="21" spans="1:14" x14ac:dyDescent="0.3">
      <c r="A21" t="s">
        <v>70</v>
      </c>
      <c r="B21" t="s">
        <v>31</v>
      </c>
      <c r="C21" t="s">
        <v>17</v>
      </c>
      <c r="D21" t="s">
        <v>27</v>
      </c>
      <c r="E21" s="4">
        <v>67834.565217391311</v>
      </c>
      <c r="F21" s="5">
        <v>42148</v>
      </c>
      <c r="G21" s="6">
        <v>2</v>
      </c>
      <c r="H21" t="s">
        <v>19</v>
      </c>
      <c r="I21" t="s">
        <v>71</v>
      </c>
      <c r="J21" s="7">
        <f t="shared" si="0"/>
        <v>5</v>
      </c>
      <c r="K21" s="10">
        <f t="shared" si="1"/>
        <v>2015</v>
      </c>
      <c r="L21" s="11">
        <f t="shared" si="2"/>
        <v>1</v>
      </c>
      <c r="M21" s="11" t="str">
        <f t="shared" si="3"/>
        <v>Sunday</v>
      </c>
      <c r="N21" s="11">
        <f t="shared" ca="1" si="4"/>
        <v>10</v>
      </c>
    </row>
    <row r="22" spans="1:14" x14ac:dyDescent="0.3">
      <c r="A22" t="s">
        <v>72</v>
      </c>
      <c r="B22" t="s">
        <v>31</v>
      </c>
      <c r="C22" t="s">
        <v>17</v>
      </c>
      <c r="D22" t="s">
        <v>35</v>
      </c>
      <c r="E22" s="4">
        <v>98922</v>
      </c>
      <c r="F22" s="5">
        <v>42155</v>
      </c>
      <c r="G22" s="6">
        <v>4</v>
      </c>
      <c r="H22" t="s">
        <v>36</v>
      </c>
      <c r="I22" t="s">
        <v>73</v>
      </c>
      <c r="J22" s="7">
        <f t="shared" si="0"/>
        <v>5</v>
      </c>
      <c r="K22" s="8">
        <f t="shared" si="1"/>
        <v>2015</v>
      </c>
      <c r="L22" s="9">
        <f t="shared" si="2"/>
        <v>1</v>
      </c>
      <c r="M22" s="9" t="str">
        <f t="shared" si="3"/>
        <v>Sunday</v>
      </c>
      <c r="N22" s="9">
        <f t="shared" ca="1" si="4"/>
        <v>10</v>
      </c>
    </row>
    <row r="23" spans="1:14" x14ac:dyDescent="0.3">
      <c r="A23" t="s">
        <v>74</v>
      </c>
      <c r="B23" t="s">
        <v>16</v>
      </c>
      <c r="C23" t="s">
        <v>10</v>
      </c>
      <c r="D23" t="s">
        <v>35</v>
      </c>
      <c r="E23" s="4">
        <v>38333</v>
      </c>
      <c r="F23" s="5">
        <v>42162</v>
      </c>
      <c r="G23" s="6">
        <v>5</v>
      </c>
      <c r="H23" t="s">
        <v>36</v>
      </c>
      <c r="I23" t="s">
        <v>75</v>
      </c>
      <c r="J23" s="7">
        <f t="shared" si="0"/>
        <v>6</v>
      </c>
      <c r="K23" s="10">
        <f t="shared" si="1"/>
        <v>2015</v>
      </c>
      <c r="L23" s="11">
        <f t="shared" si="2"/>
        <v>1</v>
      </c>
      <c r="M23" s="11" t="str">
        <f t="shared" si="3"/>
        <v>Sunday</v>
      </c>
      <c r="N23" s="11">
        <f t="shared" ca="1" si="4"/>
        <v>10</v>
      </c>
    </row>
    <row r="24" spans="1:14" x14ac:dyDescent="0.3">
      <c r="A24" t="s">
        <v>76</v>
      </c>
      <c r="B24" t="s">
        <v>22</v>
      </c>
      <c r="C24" t="s">
        <v>42</v>
      </c>
      <c r="D24" t="s">
        <v>47</v>
      </c>
      <c r="E24" s="4">
        <v>36515</v>
      </c>
      <c r="F24" s="5">
        <v>42169</v>
      </c>
      <c r="G24" s="6">
        <v>3</v>
      </c>
      <c r="H24" t="s">
        <v>28</v>
      </c>
      <c r="I24" t="s">
        <v>77</v>
      </c>
      <c r="J24" s="7">
        <f t="shared" si="0"/>
        <v>6</v>
      </c>
      <c r="K24" s="8">
        <f t="shared" si="1"/>
        <v>2015</v>
      </c>
      <c r="L24" s="9">
        <f t="shared" si="2"/>
        <v>1</v>
      </c>
      <c r="M24" s="9" t="str">
        <f t="shared" si="3"/>
        <v>Sunday</v>
      </c>
      <c r="N24" s="9">
        <f t="shared" ca="1" si="4"/>
        <v>10</v>
      </c>
    </row>
    <row r="25" spans="1:14" x14ac:dyDescent="0.3">
      <c r="A25" t="s">
        <v>78</v>
      </c>
      <c r="B25" t="s">
        <v>39</v>
      </c>
      <c r="C25" t="s">
        <v>10</v>
      </c>
      <c r="D25" t="s">
        <v>35</v>
      </c>
      <c r="E25" s="4">
        <v>91005</v>
      </c>
      <c r="F25" s="5">
        <v>42176</v>
      </c>
      <c r="G25" s="6">
        <v>1</v>
      </c>
      <c r="H25" t="s">
        <v>19</v>
      </c>
      <c r="I25" t="s">
        <v>79</v>
      </c>
      <c r="J25" s="7">
        <f t="shared" si="0"/>
        <v>6</v>
      </c>
      <c r="K25" s="10">
        <f t="shared" si="1"/>
        <v>2015</v>
      </c>
      <c r="L25" s="11">
        <f t="shared" si="2"/>
        <v>1</v>
      </c>
      <c r="M25" s="11" t="str">
        <f t="shared" si="3"/>
        <v>Sunday</v>
      </c>
      <c r="N25" s="11">
        <f t="shared" ca="1" si="4"/>
        <v>10</v>
      </c>
    </row>
    <row r="26" spans="1:14" x14ac:dyDescent="0.3">
      <c r="A26" t="s">
        <v>80</v>
      </c>
      <c r="B26" t="s">
        <v>41</v>
      </c>
      <c r="C26" t="s">
        <v>42</v>
      </c>
      <c r="D26" t="s">
        <v>35</v>
      </c>
      <c r="E26" s="4">
        <v>52272</v>
      </c>
      <c r="F26" s="5">
        <v>42183</v>
      </c>
      <c r="G26" s="6">
        <v>3</v>
      </c>
      <c r="H26" t="s">
        <v>36</v>
      </c>
      <c r="I26" t="s">
        <v>81</v>
      </c>
      <c r="J26" s="7">
        <f t="shared" si="0"/>
        <v>6</v>
      </c>
      <c r="K26" s="8">
        <f t="shared" si="1"/>
        <v>2015</v>
      </c>
      <c r="L26" s="9">
        <f t="shared" si="2"/>
        <v>1</v>
      </c>
      <c r="M26" s="9" t="str">
        <f t="shared" si="3"/>
        <v>Sunday</v>
      </c>
      <c r="N26" s="9">
        <f t="shared" ca="1" si="4"/>
        <v>10</v>
      </c>
    </row>
    <row r="27" spans="1:14" x14ac:dyDescent="0.3">
      <c r="A27" t="s">
        <v>82</v>
      </c>
      <c r="B27" t="s">
        <v>16</v>
      </c>
      <c r="C27" t="s">
        <v>26</v>
      </c>
      <c r="D27" t="s">
        <v>18</v>
      </c>
      <c r="E27" s="4">
        <v>76518</v>
      </c>
      <c r="F27" s="5">
        <v>42190</v>
      </c>
      <c r="G27" s="6">
        <v>2</v>
      </c>
      <c r="H27" t="s">
        <v>36</v>
      </c>
      <c r="I27" t="s">
        <v>83</v>
      </c>
      <c r="J27" s="7">
        <f t="shared" si="0"/>
        <v>7</v>
      </c>
      <c r="K27" s="10">
        <f t="shared" si="1"/>
        <v>2015</v>
      </c>
      <c r="L27" s="11">
        <f t="shared" si="2"/>
        <v>1</v>
      </c>
      <c r="M27" s="11" t="str">
        <f t="shared" si="3"/>
        <v>Sunday</v>
      </c>
      <c r="N27" s="11">
        <f t="shared" ca="1" si="4"/>
        <v>10</v>
      </c>
    </row>
    <row r="28" spans="1:14" x14ac:dyDescent="0.3">
      <c r="A28" t="s">
        <v>84</v>
      </c>
      <c r="B28" t="s">
        <v>22</v>
      </c>
      <c r="C28" t="s">
        <v>34</v>
      </c>
      <c r="D28" t="s">
        <v>47</v>
      </c>
      <c r="E28" s="4">
        <v>41448</v>
      </c>
      <c r="F28" s="5">
        <v>42197</v>
      </c>
      <c r="G28" s="6">
        <v>3</v>
      </c>
      <c r="H28" t="s">
        <v>19</v>
      </c>
      <c r="I28" t="s">
        <v>85</v>
      </c>
      <c r="J28" s="7">
        <f t="shared" si="0"/>
        <v>7</v>
      </c>
      <c r="K28" s="8">
        <f>YEAR(F28)</f>
        <v>2015</v>
      </c>
      <c r="L28" s="9">
        <f t="shared" si="2"/>
        <v>1</v>
      </c>
      <c r="M28" s="9" t="str">
        <f t="shared" si="3"/>
        <v>Sunday</v>
      </c>
      <c r="N28" s="9">
        <f t="shared" ca="1" si="4"/>
        <v>10</v>
      </c>
    </row>
    <row r="29" spans="1:14" x14ac:dyDescent="0.3">
      <c r="A29" t="s">
        <v>86</v>
      </c>
      <c r="B29" t="s">
        <v>25</v>
      </c>
      <c r="C29" t="s">
        <v>17</v>
      </c>
      <c r="D29" t="s">
        <v>47</v>
      </c>
      <c r="E29" s="4">
        <v>49282</v>
      </c>
      <c r="F29" s="5">
        <v>42204</v>
      </c>
      <c r="G29" s="6">
        <v>2</v>
      </c>
      <c r="H29" t="s">
        <v>36</v>
      </c>
      <c r="I29" t="s">
        <v>87</v>
      </c>
      <c r="J29" s="7">
        <f t="shared" si="0"/>
        <v>7</v>
      </c>
      <c r="K29" s="10">
        <f t="shared" si="1"/>
        <v>2015</v>
      </c>
      <c r="L29" s="11">
        <f t="shared" si="2"/>
        <v>1</v>
      </c>
      <c r="M29" s="11" t="str">
        <f t="shared" si="3"/>
        <v>Sunday</v>
      </c>
      <c r="N29" s="11">
        <f t="shared" ca="1" si="4"/>
        <v>10</v>
      </c>
    </row>
    <row r="30" spans="1:14" x14ac:dyDescent="0.3">
      <c r="A30" t="s">
        <v>88</v>
      </c>
      <c r="B30" t="s">
        <v>54</v>
      </c>
      <c r="C30" t="s">
        <v>42</v>
      </c>
      <c r="D30" t="s">
        <v>47</v>
      </c>
      <c r="E30" s="4">
        <v>92959</v>
      </c>
      <c r="F30" s="5">
        <v>42211</v>
      </c>
      <c r="G30" s="6">
        <v>5</v>
      </c>
      <c r="H30" t="s">
        <v>36</v>
      </c>
      <c r="I30" t="s">
        <v>89</v>
      </c>
      <c r="J30" s="7">
        <f t="shared" si="0"/>
        <v>7</v>
      </c>
      <c r="K30" s="8">
        <f t="shared" si="1"/>
        <v>2015</v>
      </c>
      <c r="L30" s="9">
        <f t="shared" si="2"/>
        <v>1</v>
      </c>
      <c r="M30" s="9" t="str">
        <f t="shared" si="3"/>
        <v>Sunday</v>
      </c>
      <c r="N30" s="9">
        <f t="shared" ca="1" si="4"/>
        <v>10</v>
      </c>
    </row>
    <row r="31" spans="1:14" x14ac:dyDescent="0.3">
      <c r="A31" t="s">
        <v>92</v>
      </c>
      <c r="B31" t="s">
        <v>16</v>
      </c>
      <c r="C31" t="s">
        <v>17</v>
      </c>
      <c r="D31" t="s">
        <v>18</v>
      </c>
      <c r="E31" s="4">
        <v>92299</v>
      </c>
      <c r="F31" s="5">
        <v>42225</v>
      </c>
      <c r="G31" s="6">
        <v>3</v>
      </c>
      <c r="H31" t="s">
        <v>28</v>
      </c>
      <c r="I31" t="s">
        <v>93</v>
      </c>
      <c r="J31" s="7">
        <f t="shared" si="0"/>
        <v>8</v>
      </c>
      <c r="K31" s="10">
        <f t="shared" si="1"/>
        <v>2015</v>
      </c>
      <c r="L31" s="11">
        <f t="shared" si="2"/>
        <v>1</v>
      </c>
      <c r="M31" s="11" t="str">
        <f t="shared" si="3"/>
        <v>Sunday</v>
      </c>
      <c r="N31" s="11">
        <f t="shared" ca="1" si="4"/>
        <v>10</v>
      </c>
    </row>
    <row r="32" spans="1:14" x14ac:dyDescent="0.3">
      <c r="A32" t="s">
        <v>94</v>
      </c>
      <c r="B32" t="s">
        <v>39</v>
      </c>
      <c r="C32" t="s">
        <v>17</v>
      </c>
      <c r="D32" t="s">
        <v>35</v>
      </c>
      <c r="E32" s="4">
        <v>95586</v>
      </c>
      <c r="F32" s="5">
        <v>42232</v>
      </c>
      <c r="G32" s="6">
        <v>3</v>
      </c>
      <c r="H32" t="s">
        <v>19</v>
      </c>
      <c r="I32" t="s">
        <v>95</v>
      </c>
      <c r="J32" s="7">
        <f t="shared" si="0"/>
        <v>8</v>
      </c>
      <c r="K32" s="8">
        <f t="shared" si="1"/>
        <v>2015</v>
      </c>
      <c r="L32" s="9">
        <f t="shared" si="2"/>
        <v>1</v>
      </c>
      <c r="M32" s="9" t="str">
        <f t="shared" si="3"/>
        <v>Sunday</v>
      </c>
      <c r="N32" s="9">
        <f t="shared" ca="1" si="4"/>
        <v>10</v>
      </c>
    </row>
    <row r="33" spans="1:14" x14ac:dyDescent="0.3">
      <c r="A33" t="s">
        <v>96</v>
      </c>
      <c r="B33" t="s">
        <v>41</v>
      </c>
      <c r="C33" t="s">
        <v>42</v>
      </c>
      <c r="D33" t="s">
        <v>27</v>
      </c>
      <c r="E33" s="4">
        <v>95367</v>
      </c>
      <c r="F33" s="5">
        <v>42239</v>
      </c>
      <c r="G33" s="6">
        <v>2</v>
      </c>
      <c r="H33" t="s">
        <v>28</v>
      </c>
      <c r="I33" t="s">
        <v>97</v>
      </c>
      <c r="J33" s="7">
        <f t="shared" si="0"/>
        <v>8</v>
      </c>
      <c r="K33" s="10">
        <f t="shared" si="1"/>
        <v>2015</v>
      </c>
      <c r="L33" s="11">
        <f t="shared" si="2"/>
        <v>1</v>
      </c>
      <c r="M33" s="11" t="str">
        <f t="shared" si="3"/>
        <v>Sunday</v>
      </c>
      <c r="N33" s="11">
        <f t="shared" ca="1" si="4"/>
        <v>10</v>
      </c>
    </row>
    <row r="34" spans="1:14" x14ac:dyDescent="0.3">
      <c r="A34" t="s">
        <v>98</v>
      </c>
      <c r="B34" t="s">
        <v>25</v>
      </c>
      <c r="C34" t="s">
        <v>26</v>
      </c>
      <c r="D34" t="s">
        <v>64</v>
      </c>
      <c r="E34" s="4">
        <v>79549</v>
      </c>
      <c r="F34" s="5">
        <v>42246</v>
      </c>
      <c r="G34" s="6">
        <v>3</v>
      </c>
      <c r="H34" t="s">
        <v>36</v>
      </c>
      <c r="I34" t="s">
        <v>99</v>
      </c>
      <c r="J34" s="7">
        <f t="shared" ref="J34:J65" si="5">MONTH(F34)</f>
        <v>8</v>
      </c>
      <c r="K34" s="8">
        <f t="shared" si="1"/>
        <v>2015</v>
      </c>
      <c r="L34" s="9">
        <f t="shared" si="2"/>
        <v>1</v>
      </c>
      <c r="M34" s="9" t="str">
        <f t="shared" si="3"/>
        <v>Sunday</v>
      </c>
      <c r="N34" s="9">
        <f t="shared" ca="1" si="4"/>
        <v>10</v>
      </c>
    </row>
    <row r="35" spans="1:14" x14ac:dyDescent="0.3">
      <c r="A35" t="s">
        <v>100</v>
      </c>
      <c r="B35" t="s">
        <v>22</v>
      </c>
      <c r="C35" t="s">
        <v>42</v>
      </c>
      <c r="D35" t="s">
        <v>47</v>
      </c>
      <c r="E35" s="4">
        <v>54463</v>
      </c>
      <c r="F35" s="5">
        <v>42253</v>
      </c>
      <c r="G35" s="6">
        <v>4</v>
      </c>
      <c r="H35" t="s">
        <v>28</v>
      </c>
      <c r="I35" t="s">
        <v>14</v>
      </c>
      <c r="J35" s="7">
        <f t="shared" si="5"/>
        <v>9</v>
      </c>
      <c r="K35" s="10">
        <f t="shared" si="1"/>
        <v>2015</v>
      </c>
      <c r="L35" s="11">
        <f t="shared" si="2"/>
        <v>1</v>
      </c>
      <c r="M35" s="11" t="str">
        <f t="shared" si="3"/>
        <v>Sunday</v>
      </c>
      <c r="N35" s="11">
        <f t="shared" ca="1" si="4"/>
        <v>10</v>
      </c>
    </row>
    <row r="36" spans="1:14" x14ac:dyDescent="0.3">
      <c r="A36" t="s">
        <v>101</v>
      </c>
      <c r="B36" t="s">
        <v>22</v>
      </c>
      <c r="C36" t="s">
        <v>34</v>
      </c>
      <c r="D36" t="s">
        <v>27</v>
      </c>
      <c r="E36" s="4">
        <v>89781</v>
      </c>
      <c r="F36" s="5">
        <v>42260</v>
      </c>
      <c r="G36" s="6">
        <v>2</v>
      </c>
      <c r="H36" t="s">
        <v>36</v>
      </c>
      <c r="I36" t="s">
        <v>102</v>
      </c>
      <c r="J36" s="7">
        <f t="shared" si="5"/>
        <v>9</v>
      </c>
      <c r="K36" s="8">
        <f t="shared" si="1"/>
        <v>2015</v>
      </c>
      <c r="L36" s="9">
        <f t="shared" si="2"/>
        <v>1</v>
      </c>
      <c r="M36" s="9" t="str">
        <f t="shared" si="3"/>
        <v>Sunday</v>
      </c>
      <c r="N36" s="9">
        <f t="shared" ca="1" si="4"/>
        <v>10</v>
      </c>
    </row>
    <row r="37" spans="1:14" x14ac:dyDescent="0.3">
      <c r="A37" t="s">
        <v>103</v>
      </c>
      <c r="B37" t="s">
        <v>22</v>
      </c>
      <c r="C37" t="s">
        <v>17</v>
      </c>
      <c r="D37" t="s">
        <v>35</v>
      </c>
      <c r="E37" s="4">
        <v>64796</v>
      </c>
      <c r="F37" s="5">
        <v>42267</v>
      </c>
      <c r="G37" s="6">
        <v>2</v>
      </c>
      <c r="H37" t="s">
        <v>19</v>
      </c>
      <c r="I37" t="s">
        <v>104</v>
      </c>
      <c r="J37" s="7">
        <f t="shared" si="5"/>
        <v>9</v>
      </c>
      <c r="K37" s="10">
        <f t="shared" si="1"/>
        <v>2015</v>
      </c>
      <c r="L37" s="11">
        <f t="shared" si="2"/>
        <v>1</v>
      </c>
      <c r="M37" s="11" t="str">
        <f t="shared" si="3"/>
        <v>Sunday</v>
      </c>
      <c r="N37" s="11">
        <f t="shared" ca="1" si="4"/>
        <v>10</v>
      </c>
    </row>
    <row r="38" spans="1:14" x14ac:dyDescent="0.3">
      <c r="A38" t="s">
        <v>105</v>
      </c>
      <c r="B38" t="s">
        <v>25</v>
      </c>
      <c r="C38" t="s">
        <v>42</v>
      </c>
      <c r="D38" t="s">
        <v>47</v>
      </c>
      <c r="E38" s="4">
        <v>52093</v>
      </c>
      <c r="F38" s="5">
        <v>42274</v>
      </c>
      <c r="G38" s="6">
        <v>5</v>
      </c>
      <c r="H38" t="s">
        <v>36</v>
      </c>
      <c r="I38" t="s">
        <v>106</v>
      </c>
      <c r="J38" s="7">
        <f t="shared" si="5"/>
        <v>9</v>
      </c>
      <c r="K38" s="8">
        <f t="shared" si="1"/>
        <v>2015</v>
      </c>
      <c r="L38" s="9">
        <f t="shared" si="2"/>
        <v>1</v>
      </c>
      <c r="M38" s="9" t="str">
        <f t="shared" si="3"/>
        <v>Sunday</v>
      </c>
      <c r="N38" s="9">
        <f t="shared" ca="1" si="4"/>
        <v>10</v>
      </c>
    </row>
    <row r="39" spans="1:14" x14ac:dyDescent="0.3">
      <c r="A39" t="s">
        <v>107</v>
      </c>
      <c r="B39" t="s">
        <v>41</v>
      </c>
      <c r="C39" t="s">
        <v>17</v>
      </c>
      <c r="D39" t="s">
        <v>47</v>
      </c>
      <c r="E39" s="4">
        <v>48224</v>
      </c>
      <c r="F39" s="5">
        <v>42281</v>
      </c>
      <c r="G39" s="6">
        <v>3</v>
      </c>
      <c r="H39" t="s">
        <v>36</v>
      </c>
      <c r="I39" t="s">
        <v>108</v>
      </c>
      <c r="J39" s="7">
        <f t="shared" si="5"/>
        <v>10</v>
      </c>
      <c r="K39" s="10">
        <f t="shared" si="1"/>
        <v>2015</v>
      </c>
      <c r="L39" s="11">
        <f t="shared" si="2"/>
        <v>1</v>
      </c>
      <c r="M39" s="11" t="str">
        <f t="shared" si="3"/>
        <v>Sunday</v>
      </c>
      <c r="N39" s="11">
        <f t="shared" ca="1" si="4"/>
        <v>10</v>
      </c>
    </row>
    <row r="40" spans="1:14" x14ac:dyDescent="0.3">
      <c r="A40" t="s">
        <v>111</v>
      </c>
      <c r="B40" t="s">
        <v>22</v>
      </c>
      <c r="C40" t="s">
        <v>34</v>
      </c>
      <c r="D40" t="s">
        <v>18</v>
      </c>
      <c r="E40" s="4">
        <v>33956</v>
      </c>
      <c r="F40" s="5">
        <v>42295</v>
      </c>
      <c r="G40" s="6">
        <v>2</v>
      </c>
      <c r="H40" t="s">
        <v>36</v>
      </c>
      <c r="I40" t="s">
        <v>112</v>
      </c>
      <c r="J40" s="7">
        <f t="shared" si="5"/>
        <v>10</v>
      </c>
      <c r="K40" s="8">
        <f t="shared" si="1"/>
        <v>2015</v>
      </c>
      <c r="L40" s="9">
        <f t="shared" si="2"/>
        <v>1</v>
      </c>
      <c r="M40" s="9" t="str">
        <f t="shared" si="3"/>
        <v>Sunday</v>
      </c>
      <c r="N40" s="9">
        <f t="shared" ca="1" si="4"/>
        <v>10</v>
      </c>
    </row>
    <row r="41" spans="1:14" x14ac:dyDescent="0.3">
      <c r="A41" t="s">
        <v>113</v>
      </c>
      <c r="B41" t="s">
        <v>54</v>
      </c>
      <c r="C41" t="s">
        <v>42</v>
      </c>
      <c r="D41" t="s">
        <v>64</v>
      </c>
      <c r="E41" s="4">
        <v>64913</v>
      </c>
      <c r="F41" s="5">
        <v>42302</v>
      </c>
      <c r="G41" s="6">
        <v>1</v>
      </c>
      <c r="H41" t="s">
        <v>36</v>
      </c>
      <c r="I41" t="s">
        <v>114</v>
      </c>
      <c r="J41" s="7">
        <f t="shared" si="5"/>
        <v>10</v>
      </c>
      <c r="K41" s="10">
        <f t="shared" si="1"/>
        <v>2015</v>
      </c>
      <c r="L41" s="11">
        <f t="shared" si="2"/>
        <v>1</v>
      </c>
      <c r="M41" s="11" t="str">
        <f t="shared" si="3"/>
        <v>Sunday</v>
      </c>
      <c r="N41" s="11">
        <f t="shared" ca="1" si="4"/>
        <v>10</v>
      </c>
    </row>
    <row r="42" spans="1:14" x14ac:dyDescent="0.3">
      <c r="A42" t="s">
        <v>115</v>
      </c>
      <c r="B42" t="s">
        <v>22</v>
      </c>
      <c r="C42" t="s">
        <v>42</v>
      </c>
      <c r="D42" t="s">
        <v>64</v>
      </c>
      <c r="E42" s="4">
        <v>35326</v>
      </c>
      <c r="F42" s="5">
        <v>42309</v>
      </c>
      <c r="G42" s="6">
        <v>2</v>
      </c>
      <c r="H42" t="s">
        <v>36</v>
      </c>
      <c r="I42" t="s">
        <v>116</v>
      </c>
      <c r="J42" s="7">
        <f t="shared" si="5"/>
        <v>11</v>
      </c>
      <c r="K42" s="8">
        <f t="shared" si="1"/>
        <v>2015</v>
      </c>
      <c r="L42" s="9">
        <f t="shared" si="2"/>
        <v>1</v>
      </c>
      <c r="M42" s="9" t="str">
        <f t="shared" si="3"/>
        <v>Sunday</v>
      </c>
      <c r="N42" s="9">
        <f t="shared" ca="1" si="4"/>
        <v>10</v>
      </c>
    </row>
    <row r="43" spans="1:14" x14ac:dyDescent="0.3">
      <c r="A43" t="s">
        <v>117</v>
      </c>
      <c r="B43" t="s">
        <v>41</v>
      </c>
      <c r="C43" t="s">
        <v>10</v>
      </c>
      <c r="D43" t="s">
        <v>35</v>
      </c>
      <c r="E43" s="4">
        <v>81610</v>
      </c>
      <c r="F43" s="5">
        <v>42316</v>
      </c>
      <c r="G43" s="6">
        <v>1</v>
      </c>
      <c r="H43" t="s">
        <v>36</v>
      </c>
      <c r="I43" t="s">
        <v>118</v>
      </c>
      <c r="J43" s="7">
        <f t="shared" si="5"/>
        <v>11</v>
      </c>
      <c r="K43" s="10">
        <f t="shared" si="1"/>
        <v>2015</v>
      </c>
      <c r="L43" s="11">
        <f t="shared" si="2"/>
        <v>1</v>
      </c>
      <c r="M43" s="11" t="str">
        <f t="shared" si="3"/>
        <v>Sunday</v>
      </c>
      <c r="N43" s="11">
        <f t="shared" ca="1" si="4"/>
        <v>10</v>
      </c>
    </row>
    <row r="44" spans="1:14" x14ac:dyDescent="0.3">
      <c r="A44" t="s">
        <v>119</v>
      </c>
      <c r="B44" t="s">
        <v>13</v>
      </c>
      <c r="C44" t="s">
        <v>17</v>
      </c>
      <c r="D44" t="s">
        <v>35</v>
      </c>
      <c r="E44" s="4">
        <v>58962</v>
      </c>
      <c r="F44" s="5">
        <v>42323</v>
      </c>
      <c r="G44" s="6">
        <v>3</v>
      </c>
      <c r="H44" t="s">
        <v>19</v>
      </c>
      <c r="I44" t="s">
        <v>20</v>
      </c>
      <c r="J44" s="7">
        <f t="shared" si="5"/>
        <v>11</v>
      </c>
      <c r="K44" s="8">
        <f t="shared" si="1"/>
        <v>2015</v>
      </c>
      <c r="L44" s="9">
        <f t="shared" si="2"/>
        <v>1</v>
      </c>
      <c r="M44" s="9" t="str">
        <f t="shared" si="3"/>
        <v>Sunday</v>
      </c>
      <c r="N44" s="9">
        <f t="shared" ca="1" si="4"/>
        <v>10</v>
      </c>
    </row>
    <row r="45" spans="1:14" x14ac:dyDescent="0.3">
      <c r="A45" t="s">
        <v>120</v>
      </c>
      <c r="B45" t="s">
        <v>41</v>
      </c>
      <c r="C45" t="s">
        <v>34</v>
      </c>
      <c r="D45" t="s">
        <v>18</v>
      </c>
      <c r="E45" s="4">
        <v>92701</v>
      </c>
      <c r="F45" s="5">
        <v>42330</v>
      </c>
      <c r="G45" s="6">
        <v>3</v>
      </c>
      <c r="H45" t="s">
        <v>19</v>
      </c>
      <c r="I45" t="s">
        <v>121</v>
      </c>
      <c r="J45" s="7">
        <f t="shared" si="5"/>
        <v>11</v>
      </c>
      <c r="K45" s="10">
        <f t="shared" si="1"/>
        <v>2015</v>
      </c>
      <c r="L45" s="11">
        <f t="shared" si="2"/>
        <v>1</v>
      </c>
      <c r="M45" s="11" t="str">
        <f t="shared" si="3"/>
        <v>Sunday</v>
      </c>
      <c r="N45" s="11">
        <f t="shared" ca="1" si="4"/>
        <v>10</v>
      </c>
    </row>
    <row r="46" spans="1:14" x14ac:dyDescent="0.3">
      <c r="A46" t="s">
        <v>122</v>
      </c>
      <c r="B46" t="s">
        <v>41</v>
      </c>
      <c r="C46" t="s">
        <v>17</v>
      </c>
      <c r="D46" t="s">
        <v>35</v>
      </c>
      <c r="E46" s="4">
        <v>58245</v>
      </c>
      <c r="F46" s="5">
        <v>42337</v>
      </c>
      <c r="G46" s="6">
        <v>4</v>
      </c>
      <c r="H46" t="s">
        <v>36</v>
      </c>
      <c r="I46" t="s">
        <v>123</v>
      </c>
      <c r="J46" s="7">
        <f t="shared" si="5"/>
        <v>11</v>
      </c>
      <c r="K46" s="8">
        <f t="shared" si="1"/>
        <v>2015</v>
      </c>
      <c r="L46" s="9">
        <f t="shared" si="2"/>
        <v>1</v>
      </c>
      <c r="M46" s="9" t="str">
        <f t="shared" si="3"/>
        <v>Sunday</v>
      </c>
      <c r="N46" s="9">
        <f t="shared" ca="1" si="4"/>
        <v>10</v>
      </c>
    </row>
    <row r="47" spans="1:14" x14ac:dyDescent="0.3">
      <c r="A47" t="s">
        <v>124</v>
      </c>
      <c r="B47" t="s">
        <v>25</v>
      </c>
      <c r="C47" t="s">
        <v>10</v>
      </c>
      <c r="D47" t="s">
        <v>35</v>
      </c>
      <c r="E47" s="4">
        <v>66513</v>
      </c>
      <c r="F47" s="5">
        <v>42344</v>
      </c>
      <c r="G47" s="6">
        <v>2</v>
      </c>
      <c r="H47" t="s">
        <v>19</v>
      </c>
      <c r="I47" t="s">
        <v>37</v>
      </c>
      <c r="J47" s="7">
        <f t="shared" si="5"/>
        <v>12</v>
      </c>
      <c r="K47" s="10">
        <f t="shared" si="1"/>
        <v>2015</v>
      </c>
      <c r="L47" s="11">
        <f t="shared" si="2"/>
        <v>1</v>
      </c>
      <c r="M47" s="11" t="str">
        <f t="shared" si="3"/>
        <v>Sunday</v>
      </c>
      <c r="N47" s="11">
        <f t="shared" ca="1" si="4"/>
        <v>10</v>
      </c>
    </row>
    <row r="48" spans="1:14" x14ac:dyDescent="0.3">
      <c r="A48" t="s">
        <v>125</v>
      </c>
      <c r="B48" t="s">
        <v>16</v>
      </c>
      <c r="C48" t="s">
        <v>17</v>
      </c>
      <c r="D48" t="s">
        <v>18</v>
      </c>
      <c r="E48" s="4">
        <v>78720</v>
      </c>
      <c r="F48" s="5">
        <v>42351</v>
      </c>
      <c r="G48" s="6">
        <v>5</v>
      </c>
      <c r="H48" t="s">
        <v>36</v>
      </c>
      <c r="I48" t="s">
        <v>110</v>
      </c>
      <c r="J48" s="7">
        <f t="shared" si="5"/>
        <v>12</v>
      </c>
      <c r="K48" s="8">
        <f t="shared" si="1"/>
        <v>2015</v>
      </c>
      <c r="L48" s="9">
        <f t="shared" si="2"/>
        <v>1</v>
      </c>
      <c r="M48" s="9" t="str">
        <f t="shared" si="3"/>
        <v>Sunday</v>
      </c>
      <c r="N48" s="9">
        <f t="shared" ca="1" si="4"/>
        <v>10</v>
      </c>
    </row>
    <row r="49" spans="1:14" x14ac:dyDescent="0.3">
      <c r="A49" t="s">
        <v>128</v>
      </c>
      <c r="B49" t="s">
        <v>39</v>
      </c>
      <c r="C49" t="s">
        <v>26</v>
      </c>
      <c r="D49" t="s">
        <v>35</v>
      </c>
      <c r="E49" s="4">
        <v>39423</v>
      </c>
      <c r="F49" s="5">
        <v>42365</v>
      </c>
      <c r="G49" s="6">
        <v>5</v>
      </c>
      <c r="H49" t="s">
        <v>36</v>
      </c>
      <c r="I49" t="s">
        <v>129</v>
      </c>
      <c r="J49" s="7">
        <f t="shared" si="5"/>
        <v>12</v>
      </c>
      <c r="K49" s="10">
        <f t="shared" si="1"/>
        <v>2015</v>
      </c>
      <c r="L49" s="11">
        <f t="shared" si="2"/>
        <v>1</v>
      </c>
      <c r="M49" s="11" t="str">
        <f t="shared" si="3"/>
        <v>Sunday</v>
      </c>
      <c r="N49" s="11">
        <f t="shared" ca="1" si="4"/>
        <v>10</v>
      </c>
    </row>
    <row r="50" spans="1:14" x14ac:dyDescent="0.3">
      <c r="A50" t="s">
        <v>130</v>
      </c>
      <c r="B50" t="s">
        <v>16</v>
      </c>
      <c r="C50" t="s">
        <v>42</v>
      </c>
      <c r="D50" t="s">
        <v>35</v>
      </c>
      <c r="E50" s="4">
        <v>30280</v>
      </c>
      <c r="F50" s="5">
        <v>42372</v>
      </c>
      <c r="G50" s="6">
        <v>1</v>
      </c>
      <c r="H50" t="s">
        <v>36</v>
      </c>
      <c r="I50" t="s">
        <v>131</v>
      </c>
      <c r="J50" s="7">
        <f t="shared" si="5"/>
        <v>1</v>
      </c>
      <c r="K50" s="8">
        <f t="shared" si="1"/>
        <v>2016</v>
      </c>
      <c r="L50" s="9">
        <f t="shared" si="2"/>
        <v>1</v>
      </c>
      <c r="M50" s="9" t="str">
        <f t="shared" si="3"/>
        <v>Sunday</v>
      </c>
      <c r="N50" s="9">
        <f t="shared" ca="1" si="4"/>
        <v>10</v>
      </c>
    </row>
    <row r="51" spans="1:14" x14ac:dyDescent="0.3">
      <c r="A51" t="s">
        <v>132</v>
      </c>
      <c r="B51" t="s">
        <v>16</v>
      </c>
      <c r="C51" t="s">
        <v>10</v>
      </c>
      <c r="D51" t="s">
        <v>47</v>
      </c>
      <c r="E51" s="4">
        <v>33352</v>
      </c>
      <c r="F51" s="5">
        <v>42379</v>
      </c>
      <c r="G51" s="6">
        <v>3</v>
      </c>
      <c r="H51" t="s">
        <v>36</v>
      </c>
      <c r="I51" t="s">
        <v>71</v>
      </c>
      <c r="J51" s="7">
        <f t="shared" si="5"/>
        <v>1</v>
      </c>
      <c r="K51" s="10">
        <f t="shared" si="1"/>
        <v>2016</v>
      </c>
      <c r="L51" s="11">
        <f t="shared" si="2"/>
        <v>1</v>
      </c>
      <c r="M51" s="11" t="str">
        <f t="shared" si="3"/>
        <v>Sunday</v>
      </c>
      <c r="N51" s="11">
        <f t="shared" ca="1" si="4"/>
        <v>10</v>
      </c>
    </row>
    <row r="52" spans="1:14" x14ac:dyDescent="0.3">
      <c r="A52" t="s">
        <v>133</v>
      </c>
      <c r="B52" t="s">
        <v>54</v>
      </c>
      <c r="C52" t="s">
        <v>42</v>
      </c>
      <c r="D52" t="s">
        <v>47</v>
      </c>
      <c r="E52" s="4">
        <v>75633</v>
      </c>
      <c r="F52" s="5">
        <v>42386</v>
      </c>
      <c r="G52" s="6">
        <v>5</v>
      </c>
      <c r="H52" t="s">
        <v>19</v>
      </c>
      <c r="I52" t="s">
        <v>134</v>
      </c>
      <c r="J52" s="7">
        <f t="shared" si="5"/>
        <v>1</v>
      </c>
      <c r="K52" s="8">
        <f t="shared" si="1"/>
        <v>2016</v>
      </c>
      <c r="L52" s="9">
        <f t="shared" si="2"/>
        <v>1</v>
      </c>
      <c r="M52" s="9" t="str">
        <f t="shared" si="3"/>
        <v>Sunday</v>
      </c>
      <c r="N52" s="9">
        <f t="shared" ca="1" si="4"/>
        <v>10</v>
      </c>
    </row>
    <row r="53" spans="1:14" x14ac:dyDescent="0.3">
      <c r="A53" t="s">
        <v>135</v>
      </c>
      <c r="B53" t="s">
        <v>41</v>
      </c>
      <c r="C53" t="s">
        <v>42</v>
      </c>
      <c r="D53" t="s">
        <v>27</v>
      </c>
      <c r="E53" s="4">
        <v>74815</v>
      </c>
      <c r="F53" s="5">
        <v>42393</v>
      </c>
      <c r="G53" s="6">
        <v>5</v>
      </c>
      <c r="H53" t="s">
        <v>36</v>
      </c>
      <c r="I53" t="s">
        <v>136</v>
      </c>
      <c r="J53" s="7">
        <f t="shared" si="5"/>
        <v>1</v>
      </c>
      <c r="K53" s="10">
        <f t="shared" si="1"/>
        <v>2016</v>
      </c>
      <c r="L53" s="11">
        <f t="shared" si="2"/>
        <v>1</v>
      </c>
      <c r="M53" s="11" t="str">
        <f t="shared" si="3"/>
        <v>Sunday</v>
      </c>
      <c r="N53" s="11">
        <f t="shared" ca="1" si="4"/>
        <v>10</v>
      </c>
    </row>
    <row r="54" spans="1:14" x14ac:dyDescent="0.3">
      <c r="A54" t="s">
        <v>137</v>
      </c>
      <c r="B54" t="s">
        <v>25</v>
      </c>
      <c r="C54" t="s">
        <v>26</v>
      </c>
      <c r="D54" t="s">
        <v>64</v>
      </c>
      <c r="E54" s="4">
        <v>60011</v>
      </c>
      <c r="F54" s="5">
        <v>42400</v>
      </c>
      <c r="G54" s="6">
        <v>1</v>
      </c>
      <c r="H54" t="s">
        <v>28</v>
      </c>
      <c r="I54" t="s">
        <v>138</v>
      </c>
      <c r="J54" s="7">
        <f t="shared" si="5"/>
        <v>1</v>
      </c>
      <c r="K54" s="8">
        <f t="shared" si="1"/>
        <v>2016</v>
      </c>
      <c r="L54" s="9">
        <f t="shared" si="2"/>
        <v>1</v>
      </c>
      <c r="M54" s="9" t="str">
        <f t="shared" si="3"/>
        <v>Sunday</v>
      </c>
      <c r="N54" s="9">
        <f t="shared" ca="1" si="4"/>
        <v>10</v>
      </c>
    </row>
    <row r="55" spans="1:14" x14ac:dyDescent="0.3">
      <c r="A55" t="s">
        <v>139</v>
      </c>
      <c r="B55" t="s">
        <v>16</v>
      </c>
      <c r="C55" t="s">
        <v>42</v>
      </c>
      <c r="D55" t="s">
        <v>35</v>
      </c>
      <c r="E55" s="4">
        <v>96949</v>
      </c>
      <c r="F55" s="5">
        <v>42407</v>
      </c>
      <c r="G55" s="6">
        <v>3</v>
      </c>
      <c r="H55" t="s">
        <v>36</v>
      </c>
      <c r="I55" t="s">
        <v>85</v>
      </c>
      <c r="J55" s="7">
        <f t="shared" si="5"/>
        <v>2</v>
      </c>
      <c r="K55" s="10">
        <f t="shared" si="1"/>
        <v>2016</v>
      </c>
      <c r="L55" s="11">
        <f t="shared" si="2"/>
        <v>1</v>
      </c>
      <c r="M55" s="11" t="str">
        <f t="shared" si="3"/>
        <v>Sunday</v>
      </c>
      <c r="N55" s="11">
        <f t="shared" ca="1" si="4"/>
        <v>9</v>
      </c>
    </row>
    <row r="56" spans="1:14" x14ac:dyDescent="0.3">
      <c r="A56" t="s">
        <v>140</v>
      </c>
      <c r="B56" t="s">
        <v>39</v>
      </c>
      <c r="C56" t="s">
        <v>42</v>
      </c>
      <c r="D56" t="s">
        <v>35</v>
      </c>
      <c r="E56" s="4">
        <v>84924</v>
      </c>
      <c r="F56" s="5">
        <v>42414</v>
      </c>
      <c r="G56" s="6">
        <v>5</v>
      </c>
      <c r="H56" t="s">
        <v>28</v>
      </c>
      <c r="I56" t="s">
        <v>141</v>
      </c>
      <c r="J56" s="7">
        <f t="shared" si="5"/>
        <v>2</v>
      </c>
      <c r="K56" s="8">
        <f t="shared" si="1"/>
        <v>2016</v>
      </c>
      <c r="L56" s="9">
        <f t="shared" si="2"/>
        <v>1</v>
      </c>
      <c r="M56" s="9" t="str">
        <f t="shared" si="3"/>
        <v>Sunday</v>
      </c>
      <c r="N56" s="9">
        <f t="shared" ca="1" si="4"/>
        <v>9</v>
      </c>
    </row>
    <row r="57" spans="1:14" x14ac:dyDescent="0.3">
      <c r="A57" t="s">
        <v>142</v>
      </c>
      <c r="B57" t="s">
        <v>39</v>
      </c>
      <c r="C57" t="s">
        <v>10</v>
      </c>
      <c r="D57" t="s">
        <v>27</v>
      </c>
      <c r="E57" s="4">
        <v>82033</v>
      </c>
      <c r="F57" s="5">
        <v>42421</v>
      </c>
      <c r="G57" s="6">
        <v>1</v>
      </c>
      <c r="H57" t="s">
        <v>36</v>
      </c>
      <c r="I57" t="s">
        <v>118</v>
      </c>
      <c r="J57" s="7">
        <f t="shared" si="5"/>
        <v>2</v>
      </c>
      <c r="K57" s="10">
        <f t="shared" si="1"/>
        <v>2016</v>
      </c>
      <c r="L57" s="11">
        <f t="shared" si="2"/>
        <v>1</v>
      </c>
      <c r="M57" s="11" t="str">
        <f t="shared" si="3"/>
        <v>Sunday</v>
      </c>
      <c r="N57" s="11">
        <f t="shared" ca="1" si="4"/>
        <v>9</v>
      </c>
    </row>
    <row r="58" spans="1:14" x14ac:dyDescent="0.3">
      <c r="A58" t="s">
        <v>145</v>
      </c>
      <c r="B58" t="s">
        <v>16</v>
      </c>
      <c r="C58" t="s">
        <v>42</v>
      </c>
      <c r="D58" t="s">
        <v>64</v>
      </c>
      <c r="E58" s="4">
        <v>31499</v>
      </c>
      <c r="F58" s="5">
        <v>42435</v>
      </c>
      <c r="G58" s="6">
        <v>2</v>
      </c>
      <c r="H58" t="s">
        <v>36</v>
      </c>
      <c r="I58" t="s">
        <v>102</v>
      </c>
      <c r="J58" s="7">
        <f t="shared" si="5"/>
        <v>3</v>
      </c>
      <c r="K58" s="8">
        <f t="shared" si="1"/>
        <v>2016</v>
      </c>
      <c r="L58" s="9">
        <f t="shared" si="2"/>
        <v>1</v>
      </c>
      <c r="M58" s="9" t="str">
        <f t="shared" si="3"/>
        <v>Sunday</v>
      </c>
      <c r="N58" s="9">
        <f t="shared" ca="1" si="4"/>
        <v>9</v>
      </c>
    </row>
    <row r="59" spans="1:14" x14ac:dyDescent="0.3">
      <c r="A59" t="s">
        <v>146</v>
      </c>
      <c r="B59" t="s">
        <v>41</v>
      </c>
      <c r="C59" t="s">
        <v>34</v>
      </c>
      <c r="D59" t="s">
        <v>47</v>
      </c>
      <c r="E59" s="4">
        <v>97981</v>
      </c>
      <c r="F59" s="5">
        <v>42442</v>
      </c>
      <c r="G59" s="6">
        <v>5</v>
      </c>
      <c r="H59" t="s">
        <v>36</v>
      </c>
      <c r="I59" t="s">
        <v>147</v>
      </c>
      <c r="J59" s="7">
        <f t="shared" si="5"/>
        <v>3</v>
      </c>
      <c r="K59" s="10">
        <f t="shared" si="1"/>
        <v>2016</v>
      </c>
      <c r="L59" s="11">
        <f t="shared" si="2"/>
        <v>1</v>
      </c>
      <c r="M59" s="11" t="str">
        <f t="shared" si="3"/>
        <v>Sunday</v>
      </c>
      <c r="N59" s="11">
        <f t="shared" ca="1" si="4"/>
        <v>9</v>
      </c>
    </row>
    <row r="60" spans="1:14" x14ac:dyDescent="0.3">
      <c r="A60" t="s">
        <v>148</v>
      </c>
      <c r="B60" t="s">
        <v>16</v>
      </c>
      <c r="C60" t="s">
        <v>17</v>
      </c>
      <c r="D60" t="s">
        <v>27</v>
      </c>
      <c r="E60" s="4">
        <v>36541</v>
      </c>
      <c r="F60" s="5">
        <v>42449</v>
      </c>
      <c r="G60" s="6">
        <v>2</v>
      </c>
      <c r="H60" t="s">
        <v>19</v>
      </c>
      <c r="I60" t="s">
        <v>149</v>
      </c>
      <c r="J60" s="7">
        <f t="shared" si="5"/>
        <v>3</v>
      </c>
      <c r="K60" s="8">
        <f t="shared" si="1"/>
        <v>2016</v>
      </c>
      <c r="L60" s="9">
        <f t="shared" si="2"/>
        <v>1</v>
      </c>
      <c r="M60" s="9" t="str">
        <f t="shared" si="3"/>
        <v>Sunday</v>
      </c>
      <c r="N60" s="9">
        <f t="shared" ca="1" si="4"/>
        <v>9</v>
      </c>
    </row>
    <row r="61" spans="1:14" x14ac:dyDescent="0.3">
      <c r="A61" t="s">
        <v>150</v>
      </c>
      <c r="B61" t="s">
        <v>25</v>
      </c>
      <c r="C61" t="s">
        <v>34</v>
      </c>
      <c r="D61" t="s">
        <v>35</v>
      </c>
      <c r="E61" s="4">
        <v>84737</v>
      </c>
      <c r="F61" s="5">
        <v>42456</v>
      </c>
      <c r="G61" s="6">
        <v>1</v>
      </c>
      <c r="H61" t="s">
        <v>28</v>
      </c>
      <c r="I61" t="s">
        <v>151</v>
      </c>
      <c r="J61" s="7">
        <f t="shared" si="5"/>
        <v>3</v>
      </c>
      <c r="K61" s="10">
        <f t="shared" si="1"/>
        <v>2016</v>
      </c>
      <c r="L61" s="11">
        <f t="shared" si="2"/>
        <v>1</v>
      </c>
      <c r="M61" s="11" t="str">
        <f t="shared" si="3"/>
        <v>Sunday</v>
      </c>
      <c r="N61" s="11">
        <f t="shared" ca="1" si="4"/>
        <v>9</v>
      </c>
    </row>
    <row r="62" spans="1:14" x14ac:dyDescent="0.3">
      <c r="A62" t="s">
        <v>152</v>
      </c>
      <c r="B62" t="s">
        <v>39</v>
      </c>
      <c r="C62" t="s">
        <v>10</v>
      </c>
      <c r="D62" t="s">
        <v>35</v>
      </c>
      <c r="E62" s="4">
        <v>33468</v>
      </c>
      <c r="F62" s="5">
        <v>42463</v>
      </c>
      <c r="G62" s="6">
        <v>4</v>
      </c>
      <c r="H62" t="s">
        <v>28</v>
      </c>
      <c r="I62" t="s">
        <v>153</v>
      </c>
      <c r="J62" s="7">
        <f t="shared" si="5"/>
        <v>4</v>
      </c>
      <c r="K62" s="8">
        <f t="shared" si="1"/>
        <v>2016</v>
      </c>
      <c r="L62" s="9">
        <f t="shared" si="2"/>
        <v>1</v>
      </c>
      <c r="M62" s="9" t="str">
        <f t="shared" si="3"/>
        <v>Sunday</v>
      </c>
      <c r="N62" s="9">
        <f t="shared" ca="1" si="4"/>
        <v>9</v>
      </c>
    </row>
    <row r="63" spans="1:14" x14ac:dyDescent="0.3">
      <c r="A63" t="s">
        <v>154</v>
      </c>
      <c r="B63" t="s">
        <v>39</v>
      </c>
      <c r="C63" t="s">
        <v>42</v>
      </c>
      <c r="D63" t="s">
        <v>64</v>
      </c>
      <c r="E63" s="4">
        <v>96365</v>
      </c>
      <c r="F63" s="5">
        <v>42470</v>
      </c>
      <c r="G63" s="6">
        <v>3</v>
      </c>
      <c r="H63" t="s">
        <v>19</v>
      </c>
      <c r="I63" t="s">
        <v>155</v>
      </c>
      <c r="J63" s="7">
        <f t="shared" si="5"/>
        <v>4</v>
      </c>
      <c r="K63" s="10">
        <f t="shared" si="1"/>
        <v>2016</v>
      </c>
      <c r="L63" s="11">
        <f t="shared" si="2"/>
        <v>1</v>
      </c>
      <c r="M63" s="11" t="str">
        <f t="shared" si="3"/>
        <v>Sunday</v>
      </c>
      <c r="N63" s="11">
        <f t="shared" ca="1" si="4"/>
        <v>9</v>
      </c>
    </row>
    <row r="64" spans="1:14" x14ac:dyDescent="0.3">
      <c r="A64" t="s">
        <v>156</v>
      </c>
      <c r="B64" t="s">
        <v>22</v>
      </c>
      <c r="C64" t="s">
        <v>26</v>
      </c>
      <c r="D64" t="s">
        <v>35</v>
      </c>
      <c r="E64" s="4">
        <v>61942</v>
      </c>
      <c r="F64" s="5">
        <v>42477</v>
      </c>
      <c r="G64" s="6">
        <v>3</v>
      </c>
      <c r="H64" t="s">
        <v>36</v>
      </c>
      <c r="I64" t="s">
        <v>157</v>
      </c>
      <c r="J64" s="7">
        <f t="shared" si="5"/>
        <v>4</v>
      </c>
      <c r="K64" s="8">
        <f t="shared" si="1"/>
        <v>2016</v>
      </c>
      <c r="L64" s="9">
        <f t="shared" si="2"/>
        <v>1</v>
      </c>
      <c r="M64" s="9" t="str">
        <f t="shared" si="3"/>
        <v>Sunday</v>
      </c>
      <c r="N64" s="9">
        <f t="shared" ca="1" si="4"/>
        <v>9</v>
      </c>
    </row>
    <row r="65" spans="1:14" x14ac:dyDescent="0.3">
      <c r="A65" t="s">
        <v>158</v>
      </c>
      <c r="B65" t="s">
        <v>39</v>
      </c>
      <c r="C65" t="s">
        <v>10</v>
      </c>
      <c r="D65" t="s">
        <v>47</v>
      </c>
      <c r="E65" s="4">
        <v>41467</v>
      </c>
      <c r="F65" s="5">
        <v>42484</v>
      </c>
      <c r="G65" s="6">
        <v>2</v>
      </c>
      <c r="H65" t="s">
        <v>36</v>
      </c>
      <c r="I65" t="s">
        <v>73</v>
      </c>
      <c r="J65" s="7">
        <f t="shared" si="5"/>
        <v>4</v>
      </c>
      <c r="K65" s="10">
        <f t="shared" si="1"/>
        <v>2016</v>
      </c>
      <c r="L65" s="11">
        <f t="shared" si="2"/>
        <v>1</v>
      </c>
      <c r="M65" s="11" t="str">
        <f t="shared" si="3"/>
        <v>Sunday</v>
      </c>
      <c r="N65" s="11">
        <f t="shared" ca="1" si="4"/>
        <v>9</v>
      </c>
    </row>
    <row r="66" spans="1:14" x14ac:dyDescent="0.3">
      <c r="A66" t="s">
        <v>159</v>
      </c>
      <c r="B66" t="s">
        <v>54</v>
      </c>
      <c r="C66" t="s">
        <v>10</v>
      </c>
      <c r="D66" t="s">
        <v>35</v>
      </c>
      <c r="E66" s="4">
        <v>77096</v>
      </c>
      <c r="F66" s="5">
        <v>42491</v>
      </c>
      <c r="G66" s="6">
        <v>1</v>
      </c>
      <c r="H66" t="s">
        <v>36</v>
      </c>
      <c r="I66" t="s">
        <v>160</v>
      </c>
      <c r="J66" s="7">
        <f t="shared" ref="J66:J97" si="6">MONTH(F66)</f>
        <v>5</v>
      </c>
      <c r="K66" s="8">
        <f t="shared" si="1"/>
        <v>2016</v>
      </c>
      <c r="L66" s="9">
        <f t="shared" si="2"/>
        <v>1</v>
      </c>
      <c r="M66" s="9" t="str">
        <f t="shared" si="3"/>
        <v>Sunday</v>
      </c>
      <c r="N66" s="9">
        <f t="shared" ca="1" si="4"/>
        <v>9</v>
      </c>
    </row>
    <row r="67" spans="1:14" x14ac:dyDescent="0.3">
      <c r="A67" t="s">
        <v>161</v>
      </c>
      <c r="B67" t="s">
        <v>16</v>
      </c>
      <c r="C67" t="s">
        <v>26</v>
      </c>
      <c r="D67" t="s">
        <v>64</v>
      </c>
      <c r="E67" s="4">
        <v>69952</v>
      </c>
      <c r="F67" s="5">
        <v>42498</v>
      </c>
      <c r="G67" s="6">
        <v>5</v>
      </c>
      <c r="H67" t="s">
        <v>36</v>
      </c>
      <c r="I67" t="s">
        <v>14</v>
      </c>
      <c r="J67" s="7">
        <f t="shared" si="6"/>
        <v>5</v>
      </c>
      <c r="K67" s="10">
        <f t="shared" ref="K67:K130" si="7">YEAR(F67)</f>
        <v>2016</v>
      </c>
      <c r="L67" s="11">
        <f t="shared" ref="L67:L130" si="8">WEEKDAY(F67)</f>
        <v>1</v>
      </c>
      <c r="M67" s="11" t="str">
        <f t="shared" ref="M67:M130" si="9">TEXT(F67,"dddd")</f>
        <v>Sunday</v>
      </c>
      <c r="N67" s="11">
        <f t="shared" ref="N67:N130" ca="1" si="10">DATEDIF(F67,TODAY(),"Y")</f>
        <v>9</v>
      </c>
    </row>
    <row r="68" spans="1:14" x14ac:dyDescent="0.3">
      <c r="A68" t="s">
        <v>162</v>
      </c>
      <c r="B68" t="s">
        <v>16</v>
      </c>
      <c r="C68" t="s">
        <v>42</v>
      </c>
      <c r="D68" t="s">
        <v>27</v>
      </c>
      <c r="E68" s="4">
        <v>85065</v>
      </c>
      <c r="F68" s="5">
        <v>42505</v>
      </c>
      <c r="G68" s="6">
        <v>3</v>
      </c>
      <c r="H68" t="s">
        <v>36</v>
      </c>
      <c r="I68" t="s">
        <v>163</v>
      </c>
      <c r="J68" s="7">
        <f t="shared" si="6"/>
        <v>5</v>
      </c>
      <c r="K68" s="8">
        <f t="shared" si="7"/>
        <v>2016</v>
      </c>
      <c r="L68" s="9">
        <f t="shared" si="8"/>
        <v>1</v>
      </c>
      <c r="M68" s="9" t="str">
        <f t="shared" si="9"/>
        <v>Sunday</v>
      </c>
      <c r="N68" s="9">
        <f t="shared" ca="1" si="10"/>
        <v>9</v>
      </c>
    </row>
    <row r="69" spans="1:14" x14ac:dyDescent="0.3">
      <c r="A69" t="s">
        <v>164</v>
      </c>
      <c r="B69" t="s">
        <v>54</v>
      </c>
      <c r="C69" t="s">
        <v>42</v>
      </c>
      <c r="D69" t="s">
        <v>35</v>
      </c>
      <c r="E69" s="4">
        <v>56512</v>
      </c>
      <c r="F69" s="5">
        <v>42512</v>
      </c>
      <c r="G69" s="6">
        <v>2</v>
      </c>
      <c r="H69" t="s">
        <v>19</v>
      </c>
      <c r="I69" t="s">
        <v>48</v>
      </c>
      <c r="J69" s="7">
        <f t="shared" si="6"/>
        <v>5</v>
      </c>
      <c r="K69" s="10">
        <f t="shared" si="7"/>
        <v>2016</v>
      </c>
      <c r="L69" s="11">
        <f t="shared" si="8"/>
        <v>1</v>
      </c>
      <c r="M69" s="11" t="str">
        <f t="shared" si="9"/>
        <v>Sunday</v>
      </c>
      <c r="N69" s="11">
        <f t="shared" ca="1" si="10"/>
        <v>9</v>
      </c>
    </row>
    <row r="70" spans="1:14" x14ac:dyDescent="0.3">
      <c r="A70" t="s">
        <v>165</v>
      </c>
      <c r="B70" t="s">
        <v>25</v>
      </c>
      <c r="C70" t="s">
        <v>26</v>
      </c>
      <c r="D70" t="s">
        <v>35</v>
      </c>
      <c r="E70" s="4">
        <v>91101</v>
      </c>
      <c r="F70" s="5">
        <v>42519</v>
      </c>
      <c r="G70" s="6">
        <v>4</v>
      </c>
      <c r="H70" t="s">
        <v>36</v>
      </c>
      <c r="I70" t="s">
        <v>147</v>
      </c>
      <c r="J70" s="7">
        <f t="shared" si="6"/>
        <v>5</v>
      </c>
      <c r="K70" s="8">
        <f t="shared" si="7"/>
        <v>2016</v>
      </c>
      <c r="L70" s="9">
        <f t="shared" si="8"/>
        <v>1</v>
      </c>
      <c r="M70" s="9" t="str">
        <f t="shared" si="9"/>
        <v>Sunday</v>
      </c>
      <c r="N70" s="9">
        <f t="shared" ca="1" si="10"/>
        <v>9</v>
      </c>
    </row>
    <row r="71" spans="1:14" x14ac:dyDescent="0.3">
      <c r="A71" t="s">
        <v>166</v>
      </c>
      <c r="B71" t="s">
        <v>39</v>
      </c>
      <c r="C71" t="s">
        <v>42</v>
      </c>
      <c r="D71" t="s">
        <v>18</v>
      </c>
      <c r="E71" s="4">
        <v>41243</v>
      </c>
      <c r="F71" s="5">
        <v>42526</v>
      </c>
      <c r="G71" s="6">
        <v>2</v>
      </c>
      <c r="H71" t="s">
        <v>36</v>
      </c>
      <c r="I71" t="s">
        <v>93</v>
      </c>
      <c r="J71" s="7">
        <f t="shared" si="6"/>
        <v>6</v>
      </c>
      <c r="K71" s="10">
        <f t="shared" si="7"/>
        <v>2016</v>
      </c>
      <c r="L71" s="11">
        <f t="shared" si="8"/>
        <v>1</v>
      </c>
      <c r="M71" s="11" t="str">
        <f t="shared" si="9"/>
        <v>Sunday</v>
      </c>
      <c r="N71" s="11">
        <f t="shared" ca="1" si="10"/>
        <v>9</v>
      </c>
    </row>
    <row r="72" spans="1:14" x14ac:dyDescent="0.3">
      <c r="A72" t="s">
        <v>167</v>
      </c>
      <c r="B72" t="s">
        <v>13</v>
      </c>
      <c r="C72" t="s">
        <v>26</v>
      </c>
      <c r="D72" t="s">
        <v>35</v>
      </c>
      <c r="E72" s="4">
        <v>96142</v>
      </c>
      <c r="F72" s="5">
        <v>42533</v>
      </c>
      <c r="G72" s="6">
        <v>1</v>
      </c>
      <c r="H72" t="s">
        <v>19</v>
      </c>
      <c r="I72" t="s">
        <v>168</v>
      </c>
      <c r="J72" s="7">
        <f t="shared" si="6"/>
        <v>6</v>
      </c>
      <c r="K72" s="8">
        <f t="shared" si="7"/>
        <v>2016</v>
      </c>
      <c r="L72" s="9">
        <f t="shared" si="8"/>
        <v>1</v>
      </c>
      <c r="M72" s="9" t="str">
        <f t="shared" si="9"/>
        <v>Sunday</v>
      </c>
      <c r="N72" s="9">
        <f t="shared" ca="1" si="10"/>
        <v>9</v>
      </c>
    </row>
    <row r="73" spans="1:14" x14ac:dyDescent="0.3">
      <c r="A73" t="s">
        <v>169</v>
      </c>
      <c r="B73" t="s">
        <v>16</v>
      </c>
      <c r="C73" t="s">
        <v>34</v>
      </c>
      <c r="D73" t="s">
        <v>35</v>
      </c>
      <c r="E73" s="4">
        <v>94301</v>
      </c>
      <c r="F73" s="5">
        <v>42540</v>
      </c>
      <c r="G73" s="6">
        <v>1</v>
      </c>
      <c r="H73" t="s">
        <v>28</v>
      </c>
      <c r="I73" t="s">
        <v>118</v>
      </c>
      <c r="J73" s="7">
        <f t="shared" si="6"/>
        <v>6</v>
      </c>
      <c r="K73" s="10">
        <f t="shared" si="7"/>
        <v>2016</v>
      </c>
      <c r="L73" s="11">
        <f t="shared" si="8"/>
        <v>1</v>
      </c>
      <c r="M73" s="11" t="str">
        <f t="shared" si="9"/>
        <v>Sunday</v>
      </c>
      <c r="N73" s="11">
        <f t="shared" ca="1" si="10"/>
        <v>9</v>
      </c>
    </row>
    <row r="74" spans="1:14" x14ac:dyDescent="0.3">
      <c r="A74" t="s">
        <v>170</v>
      </c>
      <c r="B74" t="s">
        <v>31</v>
      </c>
      <c r="C74" t="s">
        <v>42</v>
      </c>
      <c r="D74" t="s">
        <v>47</v>
      </c>
      <c r="E74" s="4">
        <v>69166</v>
      </c>
      <c r="F74" s="5">
        <v>42547</v>
      </c>
      <c r="G74" s="6">
        <v>1</v>
      </c>
      <c r="H74" t="s">
        <v>36</v>
      </c>
      <c r="I74" t="s">
        <v>171</v>
      </c>
      <c r="J74" s="7">
        <f t="shared" si="6"/>
        <v>6</v>
      </c>
      <c r="K74" s="8">
        <f t="shared" si="7"/>
        <v>2016</v>
      </c>
      <c r="L74" s="9">
        <f t="shared" si="8"/>
        <v>1</v>
      </c>
      <c r="M74" s="9" t="str">
        <f t="shared" si="9"/>
        <v>Sunday</v>
      </c>
      <c r="N74" s="9">
        <f t="shared" ca="1" si="10"/>
        <v>9</v>
      </c>
    </row>
    <row r="75" spans="1:14" x14ac:dyDescent="0.3">
      <c r="A75" t="s">
        <v>172</v>
      </c>
      <c r="B75" t="s">
        <v>39</v>
      </c>
      <c r="C75" t="s">
        <v>42</v>
      </c>
      <c r="D75" t="s">
        <v>47</v>
      </c>
      <c r="E75" s="4">
        <v>78245</v>
      </c>
      <c r="F75" s="5">
        <v>42554</v>
      </c>
      <c r="G75" s="6">
        <v>2</v>
      </c>
      <c r="H75" t="s">
        <v>36</v>
      </c>
      <c r="I75" t="s">
        <v>173</v>
      </c>
      <c r="J75" s="7">
        <f t="shared" si="6"/>
        <v>7</v>
      </c>
      <c r="K75" s="10">
        <f t="shared" si="7"/>
        <v>2016</v>
      </c>
      <c r="L75" s="11">
        <f t="shared" si="8"/>
        <v>1</v>
      </c>
      <c r="M75" s="11" t="str">
        <f t="shared" si="9"/>
        <v>Sunday</v>
      </c>
      <c r="N75" s="11">
        <f t="shared" ca="1" si="10"/>
        <v>9</v>
      </c>
    </row>
    <row r="76" spans="1:14" x14ac:dyDescent="0.3">
      <c r="A76" t="s">
        <v>174</v>
      </c>
      <c r="B76" t="s">
        <v>41</v>
      </c>
      <c r="C76" t="s">
        <v>26</v>
      </c>
      <c r="D76" t="s">
        <v>27</v>
      </c>
      <c r="E76" s="4">
        <v>66079</v>
      </c>
      <c r="F76" s="5">
        <v>42561</v>
      </c>
      <c r="G76" s="6">
        <v>2</v>
      </c>
      <c r="H76" t="s">
        <v>19</v>
      </c>
      <c r="I76" t="s">
        <v>175</v>
      </c>
      <c r="J76" s="7">
        <f t="shared" si="6"/>
        <v>7</v>
      </c>
      <c r="K76" s="8">
        <f t="shared" si="7"/>
        <v>2016</v>
      </c>
      <c r="L76" s="9">
        <f t="shared" si="8"/>
        <v>1</v>
      </c>
      <c r="M76" s="9" t="str">
        <f t="shared" si="9"/>
        <v>Sunday</v>
      </c>
      <c r="N76" s="9">
        <f t="shared" ca="1" si="10"/>
        <v>9</v>
      </c>
    </row>
    <row r="77" spans="1:14" x14ac:dyDescent="0.3">
      <c r="A77" t="s">
        <v>177</v>
      </c>
      <c r="B77" t="s">
        <v>31</v>
      </c>
      <c r="C77" t="s">
        <v>26</v>
      </c>
      <c r="D77" t="s">
        <v>27</v>
      </c>
      <c r="E77" s="4">
        <v>95621</v>
      </c>
      <c r="F77" s="5">
        <v>42575</v>
      </c>
      <c r="G77" s="6">
        <v>3</v>
      </c>
      <c r="H77" t="s">
        <v>36</v>
      </c>
      <c r="I77" t="s">
        <v>178</v>
      </c>
      <c r="J77" s="7">
        <f t="shared" si="6"/>
        <v>7</v>
      </c>
      <c r="K77" s="10">
        <f t="shared" si="7"/>
        <v>2016</v>
      </c>
      <c r="L77" s="11">
        <f t="shared" si="8"/>
        <v>1</v>
      </c>
      <c r="M77" s="11" t="str">
        <f t="shared" si="9"/>
        <v>Sunday</v>
      </c>
      <c r="N77" s="11">
        <f t="shared" ca="1" si="10"/>
        <v>9</v>
      </c>
    </row>
    <row r="78" spans="1:14" x14ac:dyDescent="0.3">
      <c r="A78" t="s">
        <v>179</v>
      </c>
      <c r="B78" t="s">
        <v>16</v>
      </c>
      <c r="C78" t="s">
        <v>34</v>
      </c>
      <c r="D78" t="s">
        <v>47</v>
      </c>
      <c r="E78" s="4">
        <v>42262</v>
      </c>
      <c r="F78" s="5">
        <v>42582</v>
      </c>
      <c r="G78" s="6">
        <v>1</v>
      </c>
      <c r="H78" t="s">
        <v>36</v>
      </c>
      <c r="I78" t="s">
        <v>180</v>
      </c>
      <c r="J78" s="7">
        <f t="shared" si="6"/>
        <v>7</v>
      </c>
      <c r="K78" s="8">
        <f t="shared" si="7"/>
        <v>2016</v>
      </c>
      <c r="L78" s="9">
        <f t="shared" si="8"/>
        <v>1</v>
      </c>
      <c r="M78" s="9" t="str">
        <f t="shared" si="9"/>
        <v>Sunday</v>
      </c>
      <c r="N78" s="9">
        <f t="shared" ca="1" si="10"/>
        <v>9</v>
      </c>
    </row>
    <row r="79" spans="1:14" x14ac:dyDescent="0.3">
      <c r="A79" t="s">
        <v>181</v>
      </c>
      <c r="B79" t="s">
        <v>39</v>
      </c>
      <c r="C79" t="s">
        <v>26</v>
      </c>
      <c r="D79" t="s">
        <v>35</v>
      </c>
      <c r="E79" s="4">
        <v>99621</v>
      </c>
      <c r="F79" s="5">
        <v>42589</v>
      </c>
      <c r="G79" s="6">
        <v>2</v>
      </c>
      <c r="H79" t="s">
        <v>19</v>
      </c>
      <c r="I79" t="s">
        <v>182</v>
      </c>
      <c r="J79" s="7">
        <f t="shared" si="6"/>
        <v>8</v>
      </c>
      <c r="K79" s="10">
        <f t="shared" si="7"/>
        <v>2016</v>
      </c>
      <c r="L79" s="11">
        <f t="shared" si="8"/>
        <v>1</v>
      </c>
      <c r="M79" s="11" t="str">
        <f t="shared" si="9"/>
        <v>Sunday</v>
      </c>
      <c r="N79" s="11">
        <f t="shared" ca="1" si="10"/>
        <v>9</v>
      </c>
    </row>
    <row r="80" spans="1:14" x14ac:dyDescent="0.3">
      <c r="A80" t="s">
        <v>183</v>
      </c>
      <c r="B80" t="s">
        <v>25</v>
      </c>
      <c r="C80" t="s">
        <v>42</v>
      </c>
      <c r="D80" t="s">
        <v>35</v>
      </c>
      <c r="E80" s="4">
        <v>44682</v>
      </c>
      <c r="F80" s="5">
        <v>42596</v>
      </c>
      <c r="G80" s="6">
        <v>4</v>
      </c>
      <c r="H80" t="s">
        <v>36</v>
      </c>
      <c r="I80" t="s">
        <v>112</v>
      </c>
      <c r="J80" s="7">
        <f t="shared" si="6"/>
        <v>8</v>
      </c>
      <c r="K80" s="8">
        <f t="shared" si="7"/>
        <v>2016</v>
      </c>
      <c r="L80" s="9">
        <f t="shared" si="8"/>
        <v>1</v>
      </c>
      <c r="M80" s="9" t="str">
        <f t="shared" si="9"/>
        <v>Sunday</v>
      </c>
      <c r="N80" s="9">
        <f t="shared" ca="1" si="10"/>
        <v>9</v>
      </c>
    </row>
    <row r="81" spans="1:14" x14ac:dyDescent="0.3">
      <c r="A81" t="s">
        <v>184</v>
      </c>
      <c r="B81" t="s">
        <v>41</v>
      </c>
      <c r="C81" t="s">
        <v>10</v>
      </c>
      <c r="D81" t="s">
        <v>35</v>
      </c>
      <c r="E81" s="4">
        <v>35163</v>
      </c>
      <c r="F81" s="5">
        <v>42603</v>
      </c>
      <c r="G81" s="6">
        <v>5</v>
      </c>
      <c r="H81" t="s">
        <v>19</v>
      </c>
      <c r="I81" t="s">
        <v>185</v>
      </c>
      <c r="J81" s="7">
        <f t="shared" si="6"/>
        <v>8</v>
      </c>
      <c r="K81" s="10">
        <f t="shared" si="7"/>
        <v>2016</v>
      </c>
      <c r="L81" s="11">
        <f t="shared" si="8"/>
        <v>1</v>
      </c>
      <c r="M81" s="11" t="str">
        <f t="shared" si="9"/>
        <v>Sunday</v>
      </c>
      <c r="N81" s="11">
        <f t="shared" ca="1" si="10"/>
        <v>9</v>
      </c>
    </row>
    <row r="82" spans="1:14" x14ac:dyDescent="0.3">
      <c r="A82" t="s">
        <v>186</v>
      </c>
      <c r="B82" t="s">
        <v>41</v>
      </c>
      <c r="C82" t="s">
        <v>34</v>
      </c>
      <c r="D82" t="s">
        <v>35</v>
      </c>
      <c r="E82" s="4">
        <v>33483</v>
      </c>
      <c r="F82" s="5">
        <v>42610</v>
      </c>
      <c r="G82" s="6">
        <v>4</v>
      </c>
      <c r="H82" t="s">
        <v>28</v>
      </c>
      <c r="I82" t="s">
        <v>187</v>
      </c>
      <c r="J82" s="7">
        <f t="shared" si="6"/>
        <v>8</v>
      </c>
      <c r="K82" s="8">
        <f t="shared" si="7"/>
        <v>2016</v>
      </c>
      <c r="L82" s="9">
        <f t="shared" si="8"/>
        <v>1</v>
      </c>
      <c r="M82" s="9" t="str">
        <f t="shared" si="9"/>
        <v>Sunday</v>
      </c>
      <c r="N82" s="9">
        <f t="shared" ca="1" si="10"/>
        <v>9</v>
      </c>
    </row>
    <row r="83" spans="1:14" x14ac:dyDescent="0.3">
      <c r="A83" t="s">
        <v>188</v>
      </c>
      <c r="B83" t="s">
        <v>39</v>
      </c>
      <c r="C83" t="s">
        <v>17</v>
      </c>
      <c r="D83" t="s">
        <v>18</v>
      </c>
      <c r="E83" s="4">
        <v>55303</v>
      </c>
      <c r="F83" s="5">
        <v>42617</v>
      </c>
      <c r="G83" s="6">
        <v>4</v>
      </c>
      <c r="H83" t="s">
        <v>28</v>
      </c>
      <c r="I83" t="s">
        <v>77</v>
      </c>
      <c r="J83" s="7">
        <f t="shared" si="6"/>
        <v>9</v>
      </c>
      <c r="K83" s="10">
        <f t="shared" si="7"/>
        <v>2016</v>
      </c>
      <c r="L83" s="11">
        <f t="shared" si="8"/>
        <v>1</v>
      </c>
      <c r="M83" s="11" t="str">
        <f t="shared" si="9"/>
        <v>Sunday</v>
      </c>
      <c r="N83" s="11">
        <f t="shared" ca="1" si="10"/>
        <v>9</v>
      </c>
    </row>
    <row r="84" spans="1:14" x14ac:dyDescent="0.3">
      <c r="A84" t="s">
        <v>189</v>
      </c>
      <c r="B84" t="s">
        <v>41</v>
      </c>
      <c r="C84" t="s">
        <v>34</v>
      </c>
      <c r="D84" t="s">
        <v>35</v>
      </c>
      <c r="E84" s="4">
        <v>63434</v>
      </c>
      <c r="F84" s="5">
        <v>42624</v>
      </c>
      <c r="G84" s="6">
        <v>3</v>
      </c>
      <c r="H84" t="s">
        <v>36</v>
      </c>
      <c r="I84" t="s">
        <v>190</v>
      </c>
      <c r="J84" s="7">
        <f t="shared" si="6"/>
        <v>9</v>
      </c>
      <c r="K84" s="8">
        <f t="shared" si="7"/>
        <v>2016</v>
      </c>
      <c r="L84" s="9">
        <f t="shared" si="8"/>
        <v>1</v>
      </c>
      <c r="M84" s="9" t="str">
        <f t="shared" si="9"/>
        <v>Sunday</v>
      </c>
      <c r="N84" s="9">
        <f t="shared" ca="1" si="10"/>
        <v>9</v>
      </c>
    </row>
    <row r="85" spans="1:14" x14ac:dyDescent="0.3">
      <c r="A85" t="s">
        <v>191</v>
      </c>
      <c r="B85" t="s">
        <v>31</v>
      </c>
      <c r="C85" t="s">
        <v>42</v>
      </c>
      <c r="D85" t="s">
        <v>64</v>
      </c>
      <c r="E85" s="4">
        <v>38830</v>
      </c>
      <c r="F85" s="5">
        <v>42631</v>
      </c>
      <c r="G85" s="6">
        <v>3</v>
      </c>
      <c r="H85" t="s">
        <v>19</v>
      </c>
      <c r="I85" t="s">
        <v>77</v>
      </c>
      <c r="J85" s="7">
        <f t="shared" si="6"/>
        <v>9</v>
      </c>
      <c r="K85" s="10">
        <f t="shared" si="7"/>
        <v>2016</v>
      </c>
      <c r="L85" s="11">
        <f t="shared" si="8"/>
        <v>1</v>
      </c>
      <c r="M85" s="11" t="str">
        <f t="shared" si="9"/>
        <v>Sunday</v>
      </c>
      <c r="N85" s="11">
        <f t="shared" ca="1" si="10"/>
        <v>9</v>
      </c>
    </row>
    <row r="86" spans="1:14" x14ac:dyDescent="0.3">
      <c r="A86" t="s">
        <v>192</v>
      </c>
      <c r="B86" t="s">
        <v>13</v>
      </c>
      <c r="C86" t="s">
        <v>42</v>
      </c>
      <c r="D86" t="s">
        <v>47</v>
      </c>
      <c r="E86" s="4">
        <v>50741</v>
      </c>
      <c r="F86" s="5">
        <v>42638</v>
      </c>
      <c r="G86" s="6">
        <v>3</v>
      </c>
      <c r="H86" t="s">
        <v>13</v>
      </c>
      <c r="I86" t="s">
        <v>160</v>
      </c>
      <c r="J86" s="7">
        <f t="shared" si="6"/>
        <v>9</v>
      </c>
      <c r="K86" s="8">
        <f t="shared" si="7"/>
        <v>2016</v>
      </c>
      <c r="L86" s="9">
        <f t="shared" si="8"/>
        <v>1</v>
      </c>
      <c r="M86" s="9" t="str">
        <f t="shared" si="9"/>
        <v>Sunday</v>
      </c>
      <c r="N86" s="9">
        <f t="shared" ca="1" si="10"/>
        <v>9</v>
      </c>
    </row>
    <row r="87" spans="1:14" x14ac:dyDescent="0.3">
      <c r="A87" t="s">
        <v>193</v>
      </c>
      <c r="B87" t="s">
        <v>22</v>
      </c>
      <c r="C87" t="s">
        <v>17</v>
      </c>
      <c r="D87" t="s">
        <v>64</v>
      </c>
      <c r="E87" s="4">
        <v>69420</v>
      </c>
      <c r="F87" s="5">
        <v>42645</v>
      </c>
      <c r="G87" s="6">
        <v>1</v>
      </c>
      <c r="H87" t="s">
        <v>28</v>
      </c>
      <c r="I87" t="s">
        <v>123</v>
      </c>
      <c r="J87" s="7">
        <f t="shared" si="6"/>
        <v>10</v>
      </c>
      <c r="K87" s="10">
        <f t="shared" si="7"/>
        <v>2016</v>
      </c>
      <c r="L87" s="11">
        <f t="shared" si="8"/>
        <v>1</v>
      </c>
      <c r="M87" s="11" t="str">
        <f t="shared" si="9"/>
        <v>Sunday</v>
      </c>
      <c r="N87" s="11">
        <f t="shared" ca="1" si="10"/>
        <v>9</v>
      </c>
    </row>
    <row r="88" spans="1:14" x14ac:dyDescent="0.3">
      <c r="A88" t="s">
        <v>194</v>
      </c>
      <c r="B88" t="s">
        <v>31</v>
      </c>
      <c r="C88" t="s">
        <v>34</v>
      </c>
      <c r="D88" t="s">
        <v>35</v>
      </c>
      <c r="E88" s="4">
        <v>80588</v>
      </c>
      <c r="F88" s="5">
        <v>42652</v>
      </c>
      <c r="G88" s="6">
        <v>5</v>
      </c>
      <c r="H88" t="s">
        <v>28</v>
      </c>
      <c r="I88" t="s">
        <v>104</v>
      </c>
      <c r="J88" s="7">
        <f t="shared" si="6"/>
        <v>10</v>
      </c>
      <c r="K88" s="8">
        <f t="shared" si="7"/>
        <v>2016</v>
      </c>
      <c r="L88" s="9">
        <f t="shared" si="8"/>
        <v>1</v>
      </c>
      <c r="M88" s="9" t="str">
        <f t="shared" si="9"/>
        <v>Sunday</v>
      </c>
      <c r="N88" s="9">
        <f t="shared" ca="1" si="10"/>
        <v>9</v>
      </c>
    </row>
    <row r="89" spans="1:14" x14ac:dyDescent="0.3">
      <c r="A89" t="s">
        <v>195</v>
      </c>
      <c r="B89" t="s">
        <v>22</v>
      </c>
      <c r="C89" t="s">
        <v>42</v>
      </c>
      <c r="D89" t="s">
        <v>27</v>
      </c>
      <c r="E89" s="4">
        <v>76238</v>
      </c>
      <c r="F89" s="5">
        <v>42659</v>
      </c>
      <c r="G89" s="6">
        <v>4</v>
      </c>
      <c r="H89" t="s">
        <v>28</v>
      </c>
      <c r="I89" t="s">
        <v>196</v>
      </c>
      <c r="J89" s="7">
        <f t="shared" si="6"/>
        <v>10</v>
      </c>
      <c r="K89" s="10">
        <f t="shared" si="7"/>
        <v>2016</v>
      </c>
      <c r="L89" s="11">
        <f t="shared" si="8"/>
        <v>1</v>
      </c>
      <c r="M89" s="11" t="str">
        <f t="shared" si="9"/>
        <v>Sunday</v>
      </c>
      <c r="N89" s="11">
        <f t="shared" ca="1" si="10"/>
        <v>9</v>
      </c>
    </row>
    <row r="90" spans="1:14" x14ac:dyDescent="0.3">
      <c r="A90" t="s">
        <v>197</v>
      </c>
      <c r="B90" t="s">
        <v>54</v>
      </c>
      <c r="C90" t="s">
        <v>34</v>
      </c>
      <c r="D90" t="s">
        <v>35</v>
      </c>
      <c r="E90" s="4">
        <v>33264</v>
      </c>
      <c r="F90" s="5">
        <v>42666</v>
      </c>
      <c r="G90" s="6">
        <v>2</v>
      </c>
      <c r="H90" t="s">
        <v>36</v>
      </c>
      <c r="I90" t="s">
        <v>198</v>
      </c>
      <c r="J90" s="7">
        <f t="shared" si="6"/>
        <v>10</v>
      </c>
      <c r="K90" s="8">
        <f t="shared" si="7"/>
        <v>2016</v>
      </c>
      <c r="L90" s="9">
        <f t="shared" si="8"/>
        <v>1</v>
      </c>
      <c r="M90" s="9" t="str">
        <f t="shared" si="9"/>
        <v>Sunday</v>
      </c>
      <c r="N90" s="9">
        <f t="shared" ca="1" si="10"/>
        <v>9</v>
      </c>
    </row>
    <row r="91" spans="1:14" x14ac:dyDescent="0.3">
      <c r="A91" t="s">
        <v>199</v>
      </c>
      <c r="B91" t="s">
        <v>22</v>
      </c>
      <c r="C91" t="s">
        <v>10</v>
      </c>
      <c r="D91" t="s">
        <v>64</v>
      </c>
      <c r="E91" s="4">
        <v>96101</v>
      </c>
      <c r="F91" s="5">
        <v>42673</v>
      </c>
      <c r="G91" s="6">
        <v>2</v>
      </c>
      <c r="H91" t="s">
        <v>19</v>
      </c>
      <c r="I91" t="s">
        <v>200</v>
      </c>
      <c r="J91" s="7">
        <f t="shared" si="6"/>
        <v>10</v>
      </c>
      <c r="K91" s="10">
        <f t="shared" si="7"/>
        <v>2016</v>
      </c>
      <c r="L91" s="11">
        <f t="shared" si="8"/>
        <v>1</v>
      </c>
      <c r="M91" s="11" t="str">
        <f t="shared" si="9"/>
        <v>Sunday</v>
      </c>
      <c r="N91" s="11">
        <f t="shared" ca="1" si="10"/>
        <v>9</v>
      </c>
    </row>
    <row r="92" spans="1:14" x14ac:dyDescent="0.3">
      <c r="A92" t="s">
        <v>201</v>
      </c>
      <c r="B92" t="s">
        <v>31</v>
      </c>
      <c r="C92" t="s">
        <v>10</v>
      </c>
      <c r="D92" t="s">
        <v>27</v>
      </c>
      <c r="E92" s="4">
        <v>72939</v>
      </c>
      <c r="F92" s="5">
        <v>42680</v>
      </c>
      <c r="G92" s="6">
        <v>3</v>
      </c>
      <c r="H92" t="s">
        <v>36</v>
      </c>
      <c r="I92" t="s">
        <v>202</v>
      </c>
      <c r="J92" s="7">
        <f t="shared" si="6"/>
        <v>11</v>
      </c>
      <c r="K92" s="8">
        <f t="shared" si="7"/>
        <v>2016</v>
      </c>
      <c r="L92" s="9">
        <f t="shared" si="8"/>
        <v>1</v>
      </c>
      <c r="M92" s="9" t="str">
        <f t="shared" si="9"/>
        <v>Sunday</v>
      </c>
      <c r="N92" s="9">
        <f t="shared" ca="1" si="10"/>
        <v>9</v>
      </c>
    </row>
    <row r="93" spans="1:14" x14ac:dyDescent="0.3">
      <c r="A93" t="s">
        <v>203</v>
      </c>
      <c r="B93" t="s">
        <v>39</v>
      </c>
      <c r="C93" t="s">
        <v>17</v>
      </c>
      <c r="D93" t="s">
        <v>18</v>
      </c>
      <c r="E93" s="4">
        <v>89333</v>
      </c>
      <c r="F93" s="5">
        <v>42687</v>
      </c>
      <c r="G93" s="6">
        <v>1</v>
      </c>
      <c r="H93" t="s">
        <v>28</v>
      </c>
      <c r="I93" t="s">
        <v>204</v>
      </c>
      <c r="J93" s="7">
        <f t="shared" si="6"/>
        <v>11</v>
      </c>
      <c r="K93" s="10">
        <f t="shared" si="7"/>
        <v>2016</v>
      </c>
      <c r="L93" s="11">
        <f t="shared" si="8"/>
        <v>1</v>
      </c>
      <c r="M93" s="11" t="str">
        <f t="shared" si="9"/>
        <v>Sunday</v>
      </c>
      <c r="N93" s="11">
        <f t="shared" ca="1" si="10"/>
        <v>9</v>
      </c>
    </row>
    <row r="94" spans="1:14" x14ac:dyDescent="0.3">
      <c r="A94" t="s">
        <v>205</v>
      </c>
      <c r="B94" t="s">
        <v>54</v>
      </c>
      <c r="C94" t="s">
        <v>34</v>
      </c>
      <c r="D94" t="s">
        <v>64</v>
      </c>
      <c r="E94" s="4">
        <v>70470</v>
      </c>
      <c r="F94" s="5">
        <v>42694</v>
      </c>
      <c r="G94" s="6">
        <v>2</v>
      </c>
      <c r="H94" t="s">
        <v>28</v>
      </c>
      <c r="I94" t="s">
        <v>206</v>
      </c>
      <c r="J94" s="7">
        <f t="shared" si="6"/>
        <v>11</v>
      </c>
      <c r="K94" s="8">
        <f t="shared" si="7"/>
        <v>2016</v>
      </c>
      <c r="L94" s="9">
        <f t="shared" si="8"/>
        <v>1</v>
      </c>
      <c r="M94" s="9" t="str">
        <f t="shared" si="9"/>
        <v>Sunday</v>
      </c>
      <c r="N94" s="9">
        <f t="shared" ca="1" si="10"/>
        <v>9</v>
      </c>
    </row>
    <row r="95" spans="1:14" x14ac:dyDescent="0.3">
      <c r="A95" t="s">
        <v>207</v>
      </c>
      <c r="B95" t="s">
        <v>16</v>
      </c>
      <c r="C95" t="s">
        <v>42</v>
      </c>
      <c r="D95" t="s">
        <v>27</v>
      </c>
      <c r="E95" s="4">
        <v>70096</v>
      </c>
      <c r="F95" s="5">
        <v>42701</v>
      </c>
      <c r="G95" s="6">
        <v>4</v>
      </c>
      <c r="H95" t="s">
        <v>28</v>
      </c>
      <c r="I95" t="s">
        <v>208</v>
      </c>
      <c r="J95" s="7">
        <f t="shared" si="6"/>
        <v>11</v>
      </c>
      <c r="K95" s="10">
        <f t="shared" si="7"/>
        <v>2016</v>
      </c>
      <c r="L95" s="11">
        <f t="shared" si="8"/>
        <v>1</v>
      </c>
      <c r="M95" s="11" t="str">
        <f t="shared" si="9"/>
        <v>Sunday</v>
      </c>
      <c r="N95" s="11">
        <f t="shared" ca="1" si="10"/>
        <v>9</v>
      </c>
    </row>
    <row r="96" spans="1:14" x14ac:dyDescent="0.3">
      <c r="A96" t="s">
        <v>209</v>
      </c>
      <c r="B96" t="s">
        <v>54</v>
      </c>
      <c r="C96" t="s">
        <v>42</v>
      </c>
      <c r="D96" t="s">
        <v>35</v>
      </c>
      <c r="E96" s="4">
        <v>65221.958333333336</v>
      </c>
      <c r="F96" s="5">
        <v>42708</v>
      </c>
      <c r="G96" s="6">
        <v>2</v>
      </c>
      <c r="H96" t="s">
        <v>19</v>
      </c>
      <c r="I96" t="s">
        <v>210</v>
      </c>
      <c r="J96" s="7">
        <f t="shared" si="6"/>
        <v>12</v>
      </c>
      <c r="K96" s="8">
        <f t="shared" si="7"/>
        <v>2016</v>
      </c>
      <c r="L96" s="9">
        <f t="shared" si="8"/>
        <v>1</v>
      </c>
      <c r="M96" s="9" t="str">
        <f t="shared" si="9"/>
        <v>Sunday</v>
      </c>
      <c r="N96" s="9">
        <f t="shared" ca="1" si="10"/>
        <v>9</v>
      </c>
    </row>
    <row r="97" spans="1:14" x14ac:dyDescent="0.3">
      <c r="A97" t="s">
        <v>211</v>
      </c>
      <c r="B97" t="s">
        <v>54</v>
      </c>
      <c r="C97" t="s">
        <v>34</v>
      </c>
      <c r="D97" t="s">
        <v>18</v>
      </c>
      <c r="E97" s="4">
        <v>66503</v>
      </c>
      <c r="F97" s="5">
        <v>42715</v>
      </c>
      <c r="G97" s="6">
        <v>2</v>
      </c>
      <c r="H97" t="s">
        <v>28</v>
      </c>
      <c r="I97" t="s">
        <v>71</v>
      </c>
      <c r="J97" s="7">
        <f t="shared" si="6"/>
        <v>12</v>
      </c>
      <c r="K97" s="10">
        <f t="shared" si="7"/>
        <v>2016</v>
      </c>
      <c r="L97" s="11">
        <f t="shared" si="8"/>
        <v>1</v>
      </c>
      <c r="M97" s="11" t="str">
        <f t="shared" si="9"/>
        <v>Sunday</v>
      </c>
      <c r="N97" s="11">
        <f t="shared" ca="1" si="10"/>
        <v>9</v>
      </c>
    </row>
    <row r="98" spans="1:14" x14ac:dyDescent="0.3">
      <c r="A98" t="s">
        <v>212</v>
      </c>
      <c r="B98" t="s">
        <v>22</v>
      </c>
      <c r="C98" t="s">
        <v>17</v>
      </c>
      <c r="D98" t="s">
        <v>18</v>
      </c>
      <c r="E98" s="4">
        <v>42096</v>
      </c>
      <c r="F98" s="5">
        <v>42722</v>
      </c>
      <c r="G98" s="6">
        <v>2</v>
      </c>
      <c r="H98" t="s">
        <v>36</v>
      </c>
      <c r="I98" t="s">
        <v>213</v>
      </c>
      <c r="J98" s="7">
        <f t="shared" ref="J98:J129" si="11">MONTH(F98)</f>
        <v>12</v>
      </c>
      <c r="K98" s="8">
        <f t="shared" si="7"/>
        <v>2016</v>
      </c>
      <c r="L98" s="9">
        <f t="shared" si="8"/>
        <v>1</v>
      </c>
      <c r="M98" s="9" t="str">
        <f t="shared" si="9"/>
        <v>Sunday</v>
      </c>
      <c r="N98" s="9">
        <f t="shared" ca="1" si="10"/>
        <v>9</v>
      </c>
    </row>
    <row r="99" spans="1:14" x14ac:dyDescent="0.3">
      <c r="A99" t="s">
        <v>214</v>
      </c>
      <c r="B99" t="s">
        <v>22</v>
      </c>
      <c r="C99" t="s">
        <v>42</v>
      </c>
      <c r="D99" t="s">
        <v>35</v>
      </c>
      <c r="E99" s="4">
        <v>79145</v>
      </c>
      <c r="F99" s="5">
        <v>42729</v>
      </c>
      <c r="G99" s="6">
        <v>5</v>
      </c>
      <c r="H99" t="s">
        <v>19</v>
      </c>
      <c r="I99" t="s">
        <v>118</v>
      </c>
      <c r="J99" s="7">
        <f t="shared" si="11"/>
        <v>12</v>
      </c>
      <c r="K99" s="10">
        <f t="shared" si="7"/>
        <v>2016</v>
      </c>
      <c r="L99" s="11">
        <f t="shared" si="8"/>
        <v>1</v>
      </c>
      <c r="M99" s="11" t="str">
        <f t="shared" si="9"/>
        <v>Sunday</v>
      </c>
      <c r="N99" s="11">
        <f t="shared" ca="1" si="10"/>
        <v>9</v>
      </c>
    </row>
    <row r="100" spans="1:14" x14ac:dyDescent="0.3">
      <c r="A100" t="s">
        <v>215</v>
      </c>
      <c r="B100" t="s">
        <v>31</v>
      </c>
      <c r="C100" t="s">
        <v>42</v>
      </c>
      <c r="D100" t="s">
        <v>64</v>
      </c>
      <c r="E100" s="4">
        <v>61556</v>
      </c>
      <c r="F100" s="5">
        <v>42736</v>
      </c>
      <c r="G100" s="6">
        <v>1</v>
      </c>
      <c r="H100" t="s">
        <v>36</v>
      </c>
      <c r="I100" t="s">
        <v>210</v>
      </c>
      <c r="J100" s="7">
        <f t="shared" si="11"/>
        <v>1</v>
      </c>
      <c r="K100" s="8">
        <f t="shared" si="7"/>
        <v>2017</v>
      </c>
      <c r="L100" s="9">
        <f t="shared" si="8"/>
        <v>1</v>
      </c>
      <c r="M100" s="9" t="str">
        <f t="shared" si="9"/>
        <v>Sunday</v>
      </c>
      <c r="N100" s="9">
        <f t="shared" ca="1" si="10"/>
        <v>9</v>
      </c>
    </row>
    <row r="101" spans="1:14" x14ac:dyDescent="0.3">
      <c r="A101" t="s">
        <v>216</v>
      </c>
      <c r="B101" t="s">
        <v>13</v>
      </c>
      <c r="C101" t="s">
        <v>17</v>
      </c>
      <c r="D101" t="s">
        <v>47</v>
      </c>
      <c r="E101" s="4">
        <v>87963</v>
      </c>
      <c r="F101" s="5">
        <v>42743</v>
      </c>
      <c r="G101" s="6">
        <v>3</v>
      </c>
      <c r="H101" t="s">
        <v>19</v>
      </c>
      <c r="I101" t="s">
        <v>14</v>
      </c>
      <c r="J101" s="7">
        <f t="shared" si="11"/>
        <v>1</v>
      </c>
      <c r="K101" s="10">
        <f t="shared" si="7"/>
        <v>2017</v>
      </c>
      <c r="L101" s="11">
        <f t="shared" si="8"/>
        <v>1</v>
      </c>
      <c r="M101" s="11" t="str">
        <f t="shared" si="9"/>
        <v>Sunday</v>
      </c>
      <c r="N101" s="11">
        <f t="shared" ca="1" si="10"/>
        <v>9</v>
      </c>
    </row>
    <row r="102" spans="1:14" x14ac:dyDescent="0.3">
      <c r="A102" t="s">
        <v>217</v>
      </c>
      <c r="B102" t="s">
        <v>16</v>
      </c>
      <c r="C102" t="s">
        <v>34</v>
      </c>
      <c r="D102" t="s">
        <v>35</v>
      </c>
      <c r="E102" s="4">
        <v>48325</v>
      </c>
      <c r="F102" s="5">
        <v>42750</v>
      </c>
      <c r="G102" s="6">
        <v>2</v>
      </c>
      <c r="H102" t="s">
        <v>28</v>
      </c>
      <c r="I102" t="s">
        <v>218</v>
      </c>
      <c r="J102" s="7">
        <f t="shared" si="11"/>
        <v>1</v>
      </c>
      <c r="K102" s="8">
        <f t="shared" si="7"/>
        <v>2017</v>
      </c>
      <c r="L102" s="9">
        <f t="shared" si="8"/>
        <v>1</v>
      </c>
      <c r="M102" s="9" t="str">
        <f t="shared" si="9"/>
        <v>Sunday</v>
      </c>
      <c r="N102" s="9">
        <f t="shared" ca="1" si="10"/>
        <v>9</v>
      </c>
    </row>
    <row r="103" spans="1:14" x14ac:dyDescent="0.3">
      <c r="A103" t="s">
        <v>219</v>
      </c>
      <c r="B103" t="s">
        <v>39</v>
      </c>
      <c r="C103" t="s">
        <v>42</v>
      </c>
      <c r="D103" t="s">
        <v>64</v>
      </c>
      <c r="E103" s="4">
        <v>86412</v>
      </c>
      <c r="F103" s="5">
        <v>42757</v>
      </c>
      <c r="G103" s="6">
        <v>2</v>
      </c>
      <c r="H103" t="s">
        <v>36</v>
      </c>
      <c r="I103" t="s">
        <v>75</v>
      </c>
      <c r="J103" s="7">
        <f t="shared" si="11"/>
        <v>1</v>
      </c>
      <c r="K103" s="10">
        <f t="shared" si="7"/>
        <v>2017</v>
      </c>
      <c r="L103" s="11">
        <f t="shared" si="8"/>
        <v>1</v>
      </c>
      <c r="M103" s="11" t="str">
        <f t="shared" si="9"/>
        <v>Sunday</v>
      </c>
      <c r="N103" s="11">
        <f t="shared" ca="1" si="10"/>
        <v>9</v>
      </c>
    </row>
    <row r="104" spans="1:14" x14ac:dyDescent="0.3">
      <c r="A104" t="s">
        <v>220</v>
      </c>
      <c r="B104" t="s">
        <v>39</v>
      </c>
      <c r="C104" t="s">
        <v>17</v>
      </c>
      <c r="D104" t="s">
        <v>35</v>
      </c>
      <c r="E104" s="4">
        <v>66761</v>
      </c>
      <c r="F104" s="5">
        <v>42764</v>
      </c>
      <c r="G104" s="6">
        <v>1</v>
      </c>
      <c r="H104" t="s">
        <v>36</v>
      </c>
      <c r="I104" t="s">
        <v>221</v>
      </c>
      <c r="J104" s="7">
        <f t="shared" si="11"/>
        <v>1</v>
      </c>
      <c r="K104" s="8">
        <f t="shared" si="7"/>
        <v>2017</v>
      </c>
      <c r="L104" s="9">
        <f t="shared" si="8"/>
        <v>1</v>
      </c>
      <c r="M104" s="9" t="str">
        <f t="shared" si="9"/>
        <v>Sunday</v>
      </c>
      <c r="N104" s="9">
        <f t="shared" ca="1" si="10"/>
        <v>9</v>
      </c>
    </row>
    <row r="105" spans="1:14" x14ac:dyDescent="0.3">
      <c r="A105" t="s">
        <v>222</v>
      </c>
      <c r="B105" t="s">
        <v>31</v>
      </c>
      <c r="C105" t="s">
        <v>42</v>
      </c>
      <c r="D105" t="s">
        <v>35</v>
      </c>
      <c r="E105" s="4">
        <v>88850</v>
      </c>
      <c r="F105" s="5">
        <v>42771</v>
      </c>
      <c r="G105" s="6">
        <v>1</v>
      </c>
      <c r="H105" t="s">
        <v>36</v>
      </c>
      <c r="I105" t="s">
        <v>223</v>
      </c>
      <c r="J105" s="7">
        <f t="shared" si="11"/>
        <v>2</v>
      </c>
      <c r="K105" s="10">
        <f t="shared" si="7"/>
        <v>2017</v>
      </c>
      <c r="L105" s="11">
        <f t="shared" si="8"/>
        <v>1</v>
      </c>
      <c r="M105" s="11" t="str">
        <f t="shared" si="9"/>
        <v>Sunday</v>
      </c>
      <c r="N105" s="11">
        <f t="shared" ca="1" si="10"/>
        <v>8</v>
      </c>
    </row>
    <row r="106" spans="1:14" x14ac:dyDescent="0.3">
      <c r="A106" t="s">
        <v>226</v>
      </c>
      <c r="B106" t="s">
        <v>41</v>
      </c>
      <c r="C106" t="s">
        <v>34</v>
      </c>
      <c r="D106" t="s">
        <v>27</v>
      </c>
      <c r="E106" s="4">
        <v>34306</v>
      </c>
      <c r="F106" s="5">
        <v>42785</v>
      </c>
      <c r="G106" s="6">
        <v>5</v>
      </c>
      <c r="H106" t="s">
        <v>36</v>
      </c>
      <c r="I106" t="s">
        <v>157</v>
      </c>
      <c r="J106" s="7">
        <f t="shared" si="11"/>
        <v>2</v>
      </c>
      <c r="K106" s="8">
        <f t="shared" si="7"/>
        <v>2017</v>
      </c>
      <c r="L106" s="9">
        <f t="shared" si="8"/>
        <v>1</v>
      </c>
      <c r="M106" s="9" t="str">
        <f t="shared" si="9"/>
        <v>Sunday</v>
      </c>
      <c r="N106" s="9">
        <f t="shared" ca="1" si="10"/>
        <v>8</v>
      </c>
    </row>
    <row r="107" spans="1:14" x14ac:dyDescent="0.3">
      <c r="A107" t="s">
        <v>227</v>
      </c>
      <c r="B107" t="s">
        <v>16</v>
      </c>
      <c r="C107" t="s">
        <v>10</v>
      </c>
      <c r="D107" t="s">
        <v>35</v>
      </c>
      <c r="E107" s="4">
        <v>78330</v>
      </c>
      <c r="F107" s="5">
        <v>42792</v>
      </c>
      <c r="G107" s="6">
        <v>2</v>
      </c>
      <c r="H107" t="s">
        <v>19</v>
      </c>
      <c r="I107" t="s">
        <v>208</v>
      </c>
      <c r="J107" s="7">
        <f t="shared" si="11"/>
        <v>2</v>
      </c>
      <c r="K107" s="10">
        <f t="shared" si="7"/>
        <v>2017</v>
      </c>
      <c r="L107" s="11">
        <f t="shared" si="8"/>
        <v>1</v>
      </c>
      <c r="M107" s="11" t="str">
        <f t="shared" si="9"/>
        <v>Sunday</v>
      </c>
      <c r="N107" s="11">
        <f t="shared" ca="1" si="10"/>
        <v>8</v>
      </c>
    </row>
    <row r="108" spans="1:14" x14ac:dyDescent="0.3">
      <c r="A108" t="s">
        <v>228</v>
      </c>
      <c r="B108" t="s">
        <v>22</v>
      </c>
      <c r="C108" t="s">
        <v>34</v>
      </c>
      <c r="D108" t="s">
        <v>27</v>
      </c>
      <c r="E108" s="4">
        <v>47653</v>
      </c>
      <c r="F108" s="5">
        <v>42799</v>
      </c>
      <c r="G108" s="6">
        <v>1</v>
      </c>
      <c r="H108" t="s">
        <v>28</v>
      </c>
      <c r="I108" t="s">
        <v>229</v>
      </c>
      <c r="J108" s="7">
        <f t="shared" si="11"/>
        <v>3</v>
      </c>
      <c r="K108" s="8">
        <f t="shared" si="7"/>
        <v>2017</v>
      </c>
      <c r="L108" s="9">
        <f t="shared" si="8"/>
        <v>1</v>
      </c>
      <c r="M108" s="9" t="str">
        <f t="shared" si="9"/>
        <v>Sunday</v>
      </c>
      <c r="N108" s="9">
        <f t="shared" ca="1" si="10"/>
        <v>8</v>
      </c>
    </row>
    <row r="109" spans="1:14" x14ac:dyDescent="0.3">
      <c r="A109" t="s">
        <v>230</v>
      </c>
      <c r="B109" t="s">
        <v>16</v>
      </c>
      <c r="C109" t="s">
        <v>42</v>
      </c>
      <c r="D109" t="s">
        <v>47</v>
      </c>
      <c r="E109" s="4">
        <v>44627</v>
      </c>
      <c r="F109" s="5">
        <v>42806</v>
      </c>
      <c r="G109" s="6">
        <v>4</v>
      </c>
      <c r="H109" t="s">
        <v>36</v>
      </c>
      <c r="I109" t="s">
        <v>149</v>
      </c>
      <c r="J109" s="7">
        <f t="shared" si="11"/>
        <v>3</v>
      </c>
      <c r="K109" s="10">
        <f t="shared" si="7"/>
        <v>2017</v>
      </c>
      <c r="L109" s="11">
        <f t="shared" si="8"/>
        <v>1</v>
      </c>
      <c r="M109" s="11" t="str">
        <f t="shared" si="9"/>
        <v>Sunday</v>
      </c>
      <c r="N109" s="11">
        <f t="shared" ca="1" si="10"/>
        <v>8</v>
      </c>
    </row>
    <row r="110" spans="1:14" x14ac:dyDescent="0.3">
      <c r="A110" t="s">
        <v>231</v>
      </c>
      <c r="B110" t="s">
        <v>54</v>
      </c>
      <c r="C110" t="s">
        <v>17</v>
      </c>
      <c r="D110" t="s">
        <v>18</v>
      </c>
      <c r="E110" s="4">
        <v>92343</v>
      </c>
      <c r="F110" s="5">
        <v>42813</v>
      </c>
      <c r="G110" s="6">
        <v>4</v>
      </c>
      <c r="H110" t="s">
        <v>36</v>
      </c>
      <c r="I110" t="s">
        <v>77</v>
      </c>
      <c r="J110" s="7">
        <f t="shared" si="11"/>
        <v>3</v>
      </c>
      <c r="K110" s="8">
        <f t="shared" si="7"/>
        <v>2017</v>
      </c>
      <c r="L110" s="9">
        <f t="shared" si="8"/>
        <v>1</v>
      </c>
      <c r="M110" s="9" t="str">
        <f t="shared" si="9"/>
        <v>Sunday</v>
      </c>
      <c r="N110" s="9">
        <f t="shared" ca="1" si="10"/>
        <v>8</v>
      </c>
    </row>
    <row r="111" spans="1:14" x14ac:dyDescent="0.3">
      <c r="A111" t="s">
        <v>232</v>
      </c>
      <c r="B111" t="s">
        <v>54</v>
      </c>
      <c r="C111" t="s">
        <v>42</v>
      </c>
      <c r="D111" t="s">
        <v>64</v>
      </c>
      <c r="E111" s="4">
        <v>38837</v>
      </c>
      <c r="F111" s="5">
        <v>42820</v>
      </c>
      <c r="G111" s="6">
        <v>5</v>
      </c>
      <c r="H111" t="s">
        <v>36</v>
      </c>
      <c r="I111" t="s">
        <v>157</v>
      </c>
      <c r="J111" s="7">
        <f t="shared" si="11"/>
        <v>3</v>
      </c>
      <c r="K111" s="10">
        <f t="shared" si="7"/>
        <v>2017</v>
      </c>
      <c r="L111" s="11">
        <f t="shared" si="8"/>
        <v>1</v>
      </c>
      <c r="M111" s="11" t="str">
        <f t="shared" si="9"/>
        <v>Sunday</v>
      </c>
      <c r="N111" s="11">
        <f t="shared" ca="1" si="10"/>
        <v>8</v>
      </c>
    </row>
    <row r="112" spans="1:14" x14ac:dyDescent="0.3">
      <c r="A112" t="s">
        <v>233</v>
      </c>
      <c r="B112" t="s">
        <v>54</v>
      </c>
      <c r="C112" t="s">
        <v>42</v>
      </c>
      <c r="D112" t="s">
        <v>35</v>
      </c>
      <c r="E112" s="4">
        <v>73483</v>
      </c>
      <c r="F112" s="5">
        <v>42827</v>
      </c>
      <c r="G112" s="6">
        <v>1</v>
      </c>
      <c r="H112" t="s">
        <v>36</v>
      </c>
      <c r="I112" t="s">
        <v>234</v>
      </c>
      <c r="J112" s="7">
        <f t="shared" si="11"/>
        <v>4</v>
      </c>
      <c r="K112" s="8">
        <f t="shared" si="7"/>
        <v>2017</v>
      </c>
      <c r="L112" s="9">
        <f t="shared" si="8"/>
        <v>1</v>
      </c>
      <c r="M112" s="9" t="str">
        <f t="shared" si="9"/>
        <v>Sunday</v>
      </c>
      <c r="N112" s="9">
        <f t="shared" ca="1" si="10"/>
        <v>8</v>
      </c>
    </row>
    <row r="113" spans="1:14" x14ac:dyDescent="0.3">
      <c r="A113" t="s">
        <v>235</v>
      </c>
      <c r="B113" t="s">
        <v>41</v>
      </c>
      <c r="C113" t="s">
        <v>26</v>
      </c>
      <c r="D113" t="s">
        <v>35</v>
      </c>
      <c r="E113" s="4">
        <v>95032</v>
      </c>
      <c r="F113" s="5">
        <v>42834</v>
      </c>
      <c r="G113" s="6">
        <v>3</v>
      </c>
      <c r="H113" t="s">
        <v>36</v>
      </c>
      <c r="I113" t="s">
        <v>236</v>
      </c>
      <c r="J113" s="7">
        <f t="shared" si="11"/>
        <v>4</v>
      </c>
      <c r="K113" s="10">
        <f t="shared" si="7"/>
        <v>2017</v>
      </c>
      <c r="L113" s="11">
        <f t="shared" si="8"/>
        <v>1</v>
      </c>
      <c r="M113" s="11" t="str">
        <f t="shared" si="9"/>
        <v>Sunday</v>
      </c>
      <c r="N113" s="11">
        <f t="shared" ca="1" si="10"/>
        <v>8</v>
      </c>
    </row>
    <row r="114" spans="1:14" x14ac:dyDescent="0.3">
      <c r="A114" t="s">
        <v>237</v>
      </c>
      <c r="B114" t="s">
        <v>16</v>
      </c>
      <c r="C114" t="s">
        <v>26</v>
      </c>
      <c r="D114" t="s">
        <v>64</v>
      </c>
      <c r="E114" s="4">
        <v>44358</v>
      </c>
      <c r="F114" s="5">
        <v>42841</v>
      </c>
      <c r="G114" s="6">
        <v>2</v>
      </c>
      <c r="H114" t="s">
        <v>36</v>
      </c>
      <c r="I114" t="s">
        <v>71</v>
      </c>
      <c r="J114" s="7">
        <f t="shared" si="11"/>
        <v>4</v>
      </c>
      <c r="K114" s="8">
        <f t="shared" si="7"/>
        <v>2017</v>
      </c>
      <c r="L114" s="9">
        <f t="shared" si="8"/>
        <v>1</v>
      </c>
      <c r="M114" s="9" t="str">
        <f t="shared" si="9"/>
        <v>Sunday</v>
      </c>
      <c r="N114" s="9">
        <f t="shared" ca="1" si="10"/>
        <v>8</v>
      </c>
    </row>
    <row r="115" spans="1:14" x14ac:dyDescent="0.3">
      <c r="A115" t="s">
        <v>240</v>
      </c>
      <c r="B115" t="s">
        <v>41</v>
      </c>
      <c r="C115" t="s">
        <v>26</v>
      </c>
      <c r="D115" t="s">
        <v>27</v>
      </c>
      <c r="E115" s="4">
        <v>45676</v>
      </c>
      <c r="F115" s="5">
        <v>42855</v>
      </c>
      <c r="G115" s="6">
        <v>2</v>
      </c>
      <c r="H115" t="s">
        <v>36</v>
      </c>
      <c r="I115" t="s">
        <v>241</v>
      </c>
      <c r="J115" s="7">
        <f t="shared" si="11"/>
        <v>4</v>
      </c>
      <c r="K115" s="10">
        <f t="shared" si="7"/>
        <v>2017</v>
      </c>
      <c r="L115" s="11">
        <f t="shared" si="8"/>
        <v>1</v>
      </c>
      <c r="M115" s="11" t="str">
        <f t="shared" si="9"/>
        <v>Sunday</v>
      </c>
      <c r="N115" s="11">
        <f t="shared" ca="1" si="10"/>
        <v>8</v>
      </c>
    </row>
    <row r="116" spans="1:14" x14ac:dyDescent="0.3">
      <c r="A116" t="s">
        <v>242</v>
      </c>
      <c r="B116" t="s">
        <v>54</v>
      </c>
      <c r="C116" t="s">
        <v>26</v>
      </c>
      <c r="D116" t="s">
        <v>18</v>
      </c>
      <c r="E116" s="4">
        <v>52036</v>
      </c>
      <c r="F116" s="5">
        <v>42862</v>
      </c>
      <c r="G116" s="6">
        <v>3</v>
      </c>
      <c r="H116" t="s">
        <v>28</v>
      </c>
      <c r="I116" t="s">
        <v>243</v>
      </c>
      <c r="J116" s="7">
        <f t="shared" si="11"/>
        <v>5</v>
      </c>
      <c r="K116" s="8">
        <f t="shared" si="7"/>
        <v>2017</v>
      </c>
      <c r="L116" s="9">
        <f t="shared" si="8"/>
        <v>1</v>
      </c>
      <c r="M116" s="9" t="str">
        <f t="shared" si="9"/>
        <v>Sunday</v>
      </c>
      <c r="N116" s="9">
        <f t="shared" ca="1" si="10"/>
        <v>8</v>
      </c>
    </row>
    <row r="117" spans="1:14" x14ac:dyDescent="0.3">
      <c r="A117" t="s">
        <v>244</v>
      </c>
      <c r="B117" t="s">
        <v>31</v>
      </c>
      <c r="C117" t="s">
        <v>42</v>
      </c>
      <c r="D117" t="s">
        <v>18</v>
      </c>
      <c r="E117" s="4">
        <v>30357</v>
      </c>
      <c r="F117" s="5">
        <v>42869</v>
      </c>
      <c r="G117" s="6">
        <v>5</v>
      </c>
      <c r="H117" t="s">
        <v>28</v>
      </c>
      <c r="I117" t="s">
        <v>182</v>
      </c>
      <c r="J117" s="7">
        <f t="shared" si="11"/>
        <v>5</v>
      </c>
      <c r="K117" s="10">
        <f t="shared" si="7"/>
        <v>2017</v>
      </c>
      <c r="L117" s="11">
        <f t="shared" si="8"/>
        <v>1</v>
      </c>
      <c r="M117" s="11" t="str">
        <f t="shared" si="9"/>
        <v>Sunday</v>
      </c>
      <c r="N117" s="11">
        <f t="shared" ca="1" si="10"/>
        <v>8</v>
      </c>
    </row>
    <row r="118" spans="1:14" x14ac:dyDescent="0.3">
      <c r="A118" t="s">
        <v>245</v>
      </c>
      <c r="B118" t="s">
        <v>25</v>
      </c>
      <c r="C118" t="s">
        <v>34</v>
      </c>
      <c r="D118" t="s">
        <v>35</v>
      </c>
      <c r="E118" s="4">
        <v>60034</v>
      </c>
      <c r="F118" s="5">
        <v>42876</v>
      </c>
      <c r="G118" s="6">
        <v>1</v>
      </c>
      <c r="H118" t="s">
        <v>36</v>
      </c>
      <c r="I118" t="s">
        <v>246</v>
      </c>
      <c r="J118" s="7">
        <f t="shared" si="11"/>
        <v>5</v>
      </c>
      <c r="K118" s="8">
        <f t="shared" si="7"/>
        <v>2017</v>
      </c>
      <c r="L118" s="9">
        <f t="shared" si="8"/>
        <v>1</v>
      </c>
      <c r="M118" s="9" t="str">
        <f t="shared" si="9"/>
        <v>Sunday</v>
      </c>
      <c r="N118" s="9">
        <f t="shared" ca="1" si="10"/>
        <v>8</v>
      </c>
    </row>
    <row r="119" spans="1:14" x14ac:dyDescent="0.3">
      <c r="A119" t="s">
        <v>247</v>
      </c>
      <c r="B119" t="s">
        <v>25</v>
      </c>
      <c r="C119" t="s">
        <v>10</v>
      </c>
      <c r="D119" t="s">
        <v>35</v>
      </c>
      <c r="E119" s="4">
        <v>90019</v>
      </c>
      <c r="F119" s="5">
        <v>42883</v>
      </c>
      <c r="G119" s="6">
        <v>5</v>
      </c>
      <c r="H119" t="s">
        <v>36</v>
      </c>
      <c r="I119" t="s">
        <v>248</v>
      </c>
      <c r="J119" s="7">
        <f t="shared" si="11"/>
        <v>5</v>
      </c>
      <c r="K119" s="10">
        <f t="shared" si="7"/>
        <v>2017</v>
      </c>
      <c r="L119" s="11">
        <f t="shared" si="8"/>
        <v>1</v>
      </c>
      <c r="M119" s="11" t="str">
        <f t="shared" si="9"/>
        <v>Sunday</v>
      </c>
      <c r="N119" s="11">
        <f t="shared" ca="1" si="10"/>
        <v>8</v>
      </c>
    </row>
    <row r="120" spans="1:14" x14ac:dyDescent="0.3">
      <c r="A120" t="s">
        <v>249</v>
      </c>
      <c r="B120" t="s">
        <v>54</v>
      </c>
      <c r="C120" t="s">
        <v>42</v>
      </c>
      <c r="D120" t="s">
        <v>18</v>
      </c>
      <c r="E120" s="4">
        <v>71494</v>
      </c>
      <c r="F120" s="5">
        <v>42890</v>
      </c>
      <c r="G120" s="6">
        <v>3</v>
      </c>
      <c r="H120" t="s">
        <v>28</v>
      </c>
      <c r="I120" t="s">
        <v>250</v>
      </c>
      <c r="J120" s="7">
        <f t="shared" si="11"/>
        <v>6</v>
      </c>
      <c r="K120" s="8">
        <f t="shared" si="7"/>
        <v>2017</v>
      </c>
      <c r="L120" s="9">
        <f t="shared" si="8"/>
        <v>1</v>
      </c>
      <c r="M120" s="9" t="str">
        <f t="shared" si="9"/>
        <v>Sunday</v>
      </c>
      <c r="N120" s="9">
        <f t="shared" ca="1" si="10"/>
        <v>8</v>
      </c>
    </row>
    <row r="121" spans="1:14" x14ac:dyDescent="0.3">
      <c r="A121" t="s">
        <v>251</v>
      </c>
      <c r="B121" t="s">
        <v>25</v>
      </c>
      <c r="C121" t="s">
        <v>10</v>
      </c>
      <c r="D121" t="s">
        <v>27</v>
      </c>
      <c r="E121" s="4">
        <v>91953</v>
      </c>
      <c r="F121" s="5">
        <v>42897</v>
      </c>
      <c r="G121" s="6">
        <v>2</v>
      </c>
      <c r="H121" t="s">
        <v>28</v>
      </c>
      <c r="I121" t="s">
        <v>89</v>
      </c>
      <c r="J121" s="7">
        <f t="shared" si="11"/>
        <v>6</v>
      </c>
      <c r="K121" s="10">
        <f t="shared" si="7"/>
        <v>2017</v>
      </c>
      <c r="L121" s="11">
        <f t="shared" si="8"/>
        <v>1</v>
      </c>
      <c r="M121" s="11" t="str">
        <f t="shared" si="9"/>
        <v>Sunday</v>
      </c>
      <c r="N121" s="11">
        <f t="shared" ca="1" si="10"/>
        <v>8</v>
      </c>
    </row>
    <row r="122" spans="1:14" x14ac:dyDescent="0.3">
      <c r="A122" t="s">
        <v>252</v>
      </c>
      <c r="B122" t="s">
        <v>41</v>
      </c>
      <c r="C122" t="s">
        <v>26</v>
      </c>
      <c r="D122" t="s">
        <v>27</v>
      </c>
      <c r="E122" s="4">
        <v>30402</v>
      </c>
      <c r="F122" s="5">
        <v>42904</v>
      </c>
      <c r="G122" s="6">
        <v>1</v>
      </c>
      <c r="H122" t="s">
        <v>36</v>
      </c>
      <c r="I122" t="s">
        <v>253</v>
      </c>
      <c r="J122" s="7">
        <f t="shared" si="11"/>
        <v>6</v>
      </c>
      <c r="K122" s="8">
        <f t="shared" si="7"/>
        <v>2017</v>
      </c>
      <c r="L122" s="9">
        <f t="shared" si="8"/>
        <v>1</v>
      </c>
      <c r="M122" s="9" t="str">
        <f t="shared" si="9"/>
        <v>Sunday</v>
      </c>
      <c r="N122" s="9">
        <f t="shared" ca="1" si="10"/>
        <v>8</v>
      </c>
    </row>
    <row r="123" spans="1:14" x14ac:dyDescent="0.3">
      <c r="A123" t="s">
        <v>254</v>
      </c>
      <c r="B123" t="s">
        <v>54</v>
      </c>
      <c r="C123" t="s">
        <v>42</v>
      </c>
      <c r="D123" t="s">
        <v>47</v>
      </c>
      <c r="E123" s="4">
        <v>62994</v>
      </c>
      <c r="F123" s="5">
        <v>42911</v>
      </c>
      <c r="G123" s="6">
        <v>2</v>
      </c>
      <c r="H123" t="s">
        <v>36</v>
      </c>
      <c r="I123" t="s">
        <v>114</v>
      </c>
      <c r="J123" s="7">
        <f t="shared" si="11"/>
        <v>6</v>
      </c>
      <c r="K123" s="10">
        <f t="shared" si="7"/>
        <v>2017</v>
      </c>
      <c r="L123" s="11">
        <f t="shared" si="8"/>
        <v>1</v>
      </c>
      <c r="M123" s="11" t="str">
        <f t="shared" si="9"/>
        <v>Sunday</v>
      </c>
      <c r="N123" s="11">
        <f t="shared" ca="1" si="10"/>
        <v>8</v>
      </c>
    </row>
    <row r="124" spans="1:14" x14ac:dyDescent="0.3">
      <c r="A124" t="s">
        <v>256</v>
      </c>
      <c r="B124" t="s">
        <v>39</v>
      </c>
      <c r="C124" t="s">
        <v>42</v>
      </c>
      <c r="D124" t="s">
        <v>18</v>
      </c>
      <c r="E124" s="4">
        <v>34402</v>
      </c>
      <c r="F124" s="5">
        <v>42925</v>
      </c>
      <c r="G124" s="6">
        <v>3</v>
      </c>
      <c r="H124" t="s">
        <v>19</v>
      </c>
      <c r="I124" t="s">
        <v>108</v>
      </c>
      <c r="J124" s="7">
        <f t="shared" si="11"/>
        <v>7</v>
      </c>
      <c r="K124" s="8">
        <f t="shared" si="7"/>
        <v>2017</v>
      </c>
      <c r="L124" s="9">
        <f t="shared" si="8"/>
        <v>1</v>
      </c>
      <c r="M124" s="9" t="str">
        <f t="shared" si="9"/>
        <v>Sunday</v>
      </c>
      <c r="N124" s="9">
        <f t="shared" ca="1" si="10"/>
        <v>8</v>
      </c>
    </row>
    <row r="125" spans="1:14" x14ac:dyDescent="0.3">
      <c r="A125" t="s">
        <v>257</v>
      </c>
      <c r="B125" t="s">
        <v>16</v>
      </c>
      <c r="C125" t="s">
        <v>17</v>
      </c>
      <c r="D125" t="s">
        <v>27</v>
      </c>
      <c r="E125" s="4">
        <v>38678</v>
      </c>
      <c r="F125" s="5">
        <v>42932</v>
      </c>
      <c r="G125" s="6">
        <v>3</v>
      </c>
      <c r="H125" t="s">
        <v>19</v>
      </c>
      <c r="I125" t="s">
        <v>258</v>
      </c>
      <c r="J125" s="7">
        <f t="shared" si="11"/>
        <v>7</v>
      </c>
      <c r="K125" s="10">
        <f t="shared" si="7"/>
        <v>2017</v>
      </c>
      <c r="L125" s="11">
        <f t="shared" si="8"/>
        <v>1</v>
      </c>
      <c r="M125" s="11" t="str">
        <f t="shared" si="9"/>
        <v>Sunday</v>
      </c>
      <c r="N125" s="11">
        <f t="shared" ca="1" si="10"/>
        <v>8</v>
      </c>
    </row>
    <row r="126" spans="1:14" x14ac:dyDescent="0.3">
      <c r="A126" t="s">
        <v>259</v>
      </c>
      <c r="B126" t="s">
        <v>41</v>
      </c>
      <c r="C126" t="s">
        <v>17</v>
      </c>
      <c r="D126" t="s">
        <v>18</v>
      </c>
      <c r="E126" s="4">
        <v>45758</v>
      </c>
      <c r="F126" s="5">
        <v>42939</v>
      </c>
      <c r="G126" s="6">
        <v>3</v>
      </c>
      <c r="H126" t="s">
        <v>36</v>
      </c>
      <c r="I126" t="s">
        <v>225</v>
      </c>
      <c r="J126" s="7">
        <f t="shared" si="11"/>
        <v>7</v>
      </c>
      <c r="K126" s="8">
        <f t="shared" si="7"/>
        <v>2017</v>
      </c>
      <c r="L126" s="9">
        <f t="shared" si="8"/>
        <v>1</v>
      </c>
      <c r="M126" s="9" t="str">
        <f t="shared" si="9"/>
        <v>Sunday</v>
      </c>
      <c r="N126" s="9">
        <f t="shared" ca="1" si="10"/>
        <v>8</v>
      </c>
    </row>
    <row r="127" spans="1:14" x14ac:dyDescent="0.3">
      <c r="A127" t="s">
        <v>260</v>
      </c>
      <c r="B127" t="s">
        <v>16</v>
      </c>
      <c r="C127" t="s">
        <v>42</v>
      </c>
      <c r="D127" t="s">
        <v>35</v>
      </c>
      <c r="E127" s="4">
        <v>62476</v>
      </c>
      <c r="F127" s="5">
        <v>42946</v>
      </c>
      <c r="G127" s="6">
        <v>1</v>
      </c>
      <c r="H127" t="s">
        <v>19</v>
      </c>
      <c r="I127" t="s">
        <v>138</v>
      </c>
      <c r="J127" s="7">
        <f t="shared" si="11"/>
        <v>7</v>
      </c>
      <c r="K127" s="10">
        <f t="shared" si="7"/>
        <v>2017</v>
      </c>
      <c r="L127" s="11">
        <f t="shared" si="8"/>
        <v>1</v>
      </c>
      <c r="M127" s="11" t="str">
        <f t="shared" si="9"/>
        <v>Sunday</v>
      </c>
      <c r="N127" s="11">
        <f t="shared" ca="1" si="10"/>
        <v>8</v>
      </c>
    </row>
    <row r="128" spans="1:14" x14ac:dyDescent="0.3">
      <c r="A128" t="s">
        <v>261</v>
      </c>
      <c r="B128" t="s">
        <v>13</v>
      </c>
      <c r="C128" t="s">
        <v>34</v>
      </c>
      <c r="D128" t="s">
        <v>47</v>
      </c>
      <c r="E128" s="4">
        <v>39280</v>
      </c>
      <c r="F128" s="5">
        <v>42953</v>
      </c>
      <c r="G128" s="6">
        <v>3</v>
      </c>
      <c r="H128" t="s">
        <v>36</v>
      </c>
      <c r="I128" t="s">
        <v>99</v>
      </c>
      <c r="J128" s="7">
        <f t="shared" si="11"/>
        <v>8</v>
      </c>
      <c r="K128" s="8">
        <f t="shared" si="7"/>
        <v>2017</v>
      </c>
      <c r="L128" s="9">
        <f t="shared" si="8"/>
        <v>1</v>
      </c>
      <c r="M128" s="9" t="str">
        <f t="shared" si="9"/>
        <v>Sunday</v>
      </c>
      <c r="N128" s="9">
        <f t="shared" ca="1" si="10"/>
        <v>8</v>
      </c>
    </row>
    <row r="129" spans="1:14" x14ac:dyDescent="0.3">
      <c r="A129" t="s">
        <v>262</v>
      </c>
      <c r="B129" t="s">
        <v>31</v>
      </c>
      <c r="C129" t="s">
        <v>10</v>
      </c>
      <c r="D129" t="s">
        <v>35</v>
      </c>
      <c r="E129" s="4">
        <v>60335</v>
      </c>
      <c r="F129" s="5">
        <v>42960</v>
      </c>
      <c r="G129" s="6">
        <v>4</v>
      </c>
      <c r="H129" t="s">
        <v>19</v>
      </c>
      <c r="I129" t="s">
        <v>129</v>
      </c>
      <c r="J129" s="7">
        <f t="shared" si="11"/>
        <v>8</v>
      </c>
      <c r="K129" s="10">
        <f t="shared" si="7"/>
        <v>2017</v>
      </c>
      <c r="L129" s="11">
        <f t="shared" si="8"/>
        <v>1</v>
      </c>
      <c r="M129" s="11" t="str">
        <f t="shared" si="9"/>
        <v>Sunday</v>
      </c>
      <c r="N129" s="11">
        <f t="shared" ca="1" si="10"/>
        <v>8</v>
      </c>
    </row>
    <row r="130" spans="1:14" x14ac:dyDescent="0.3">
      <c r="A130" t="s">
        <v>263</v>
      </c>
      <c r="B130" t="s">
        <v>41</v>
      </c>
      <c r="C130" t="s">
        <v>17</v>
      </c>
      <c r="D130" t="s">
        <v>18</v>
      </c>
      <c r="E130" s="4">
        <v>84968</v>
      </c>
      <c r="F130" s="5">
        <v>42967</v>
      </c>
      <c r="G130" s="6">
        <v>2</v>
      </c>
      <c r="H130" t="s">
        <v>36</v>
      </c>
      <c r="I130" t="s">
        <v>264</v>
      </c>
      <c r="J130" s="7">
        <f t="shared" ref="J130:J142" si="12">MONTH(F130)</f>
        <v>8</v>
      </c>
      <c r="K130" s="8">
        <f t="shared" si="7"/>
        <v>2017</v>
      </c>
      <c r="L130" s="9">
        <f t="shared" si="8"/>
        <v>1</v>
      </c>
      <c r="M130" s="9" t="str">
        <f t="shared" si="9"/>
        <v>Sunday</v>
      </c>
      <c r="N130" s="9">
        <f t="shared" ca="1" si="10"/>
        <v>8</v>
      </c>
    </row>
    <row r="131" spans="1:14" x14ac:dyDescent="0.3">
      <c r="A131" t="s">
        <v>265</v>
      </c>
      <c r="B131" t="s">
        <v>41</v>
      </c>
      <c r="C131" t="s">
        <v>42</v>
      </c>
      <c r="D131" t="s">
        <v>64</v>
      </c>
      <c r="E131" s="4">
        <v>84750</v>
      </c>
      <c r="F131" s="5">
        <v>42974</v>
      </c>
      <c r="G131" s="6">
        <v>4</v>
      </c>
      <c r="H131" t="s">
        <v>36</v>
      </c>
      <c r="I131" t="s">
        <v>60</v>
      </c>
      <c r="J131" s="7">
        <f t="shared" si="12"/>
        <v>8</v>
      </c>
      <c r="K131" s="10">
        <f t="shared" ref="K131:K142" si="13">YEAR(F131)</f>
        <v>2017</v>
      </c>
      <c r="L131" s="11">
        <f t="shared" ref="L131:L142" si="14">WEEKDAY(F131)</f>
        <v>1</v>
      </c>
      <c r="M131" s="11" t="str">
        <f t="shared" ref="M131:M142" si="15">TEXT(F131,"dddd")</f>
        <v>Sunday</v>
      </c>
      <c r="N131" s="11">
        <f t="shared" ref="N131:N142" ca="1" si="16">DATEDIF(F131,TODAY(),"Y")</f>
        <v>8</v>
      </c>
    </row>
    <row r="132" spans="1:14" x14ac:dyDescent="0.3">
      <c r="A132" t="s">
        <v>266</v>
      </c>
      <c r="B132" t="s">
        <v>54</v>
      </c>
      <c r="C132" t="s">
        <v>34</v>
      </c>
      <c r="D132" t="s">
        <v>35</v>
      </c>
      <c r="E132" s="4">
        <v>73348</v>
      </c>
      <c r="F132" s="5">
        <v>42981</v>
      </c>
      <c r="G132" s="6">
        <v>2</v>
      </c>
      <c r="H132" t="s">
        <v>36</v>
      </c>
      <c r="I132" t="s">
        <v>171</v>
      </c>
      <c r="J132" s="7">
        <f t="shared" si="12"/>
        <v>9</v>
      </c>
      <c r="K132" s="8">
        <f t="shared" si="13"/>
        <v>2017</v>
      </c>
      <c r="L132" s="9">
        <f t="shared" si="14"/>
        <v>1</v>
      </c>
      <c r="M132" s="9" t="str">
        <f t="shared" si="15"/>
        <v>Sunday</v>
      </c>
      <c r="N132" s="9">
        <f t="shared" ca="1" si="16"/>
        <v>8</v>
      </c>
    </row>
    <row r="133" spans="1:14" x14ac:dyDescent="0.3">
      <c r="A133" t="s">
        <v>267</v>
      </c>
      <c r="B133" t="s">
        <v>41</v>
      </c>
      <c r="C133" t="s">
        <v>26</v>
      </c>
      <c r="D133" t="s">
        <v>27</v>
      </c>
      <c r="E133" s="4">
        <v>70375.869565217392</v>
      </c>
      <c r="F133" s="5">
        <v>42988</v>
      </c>
      <c r="G133" s="6">
        <v>4</v>
      </c>
      <c r="H133" t="s">
        <v>19</v>
      </c>
      <c r="I133" t="s">
        <v>14</v>
      </c>
      <c r="J133" s="7">
        <f t="shared" si="12"/>
        <v>9</v>
      </c>
      <c r="K133" s="10">
        <f t="shared" si="13"/>
        <v>2017</v>
      </c>
      <c r="L133" s="11">
        <f t="shared" si="14"/>
        <v>1</v>
      </c>
      <c r="M133" s="11" t="str">
        <f t="shared" si="15"/>
        <v>Sunday</v>
      </c>
      <c r="N133" s="11">
        <f t="shared" ca="1" si="16"/>
        <v>8</v>
      </c>
    </row>
    <row r="134" spans="1:14" x14ac:dyDescent="0.3">
      <c r="A134" t="s">
        <v>268</v>
      </c>
      <c r="B134" t="s">
        <v>31</v>
      </c>
      <c r="C134" t="s">
        <v>42</v>
      </c>
      <c r="D134" t="s">
        <v>27</v>
      </c>
      <c r="E134" s="4">
        <v>66882</v>
      </c>
      <c r="F134" s="5">
        <v>42995</v>
      </c>
      <c r="G134" s="6">
        <v>5</v>
      </c>
      <c r="H134" t="s">
        <v>19</v>
      </c>
      <c r="I134" t="s">
        <v>85</v>
      </c>
      <c r="J134" s="7">
        <f t="shared" si="12"/>
        <v>9</v>
      </c>
      <c r="K134" s="8">
        <f t="shared" si="13"/>
        <v>2017</v>
      </c>
      <c r="L134" s="9">
        <f t="shared" si="14"/>
        <v>1</v>
      </c>
      <c r="M134" s="9" t="str">
        <f t="shared" si="15"/>
        <v>Sunday</v>
      </c>
      <c r="N134" s="9">
        <f t="shared" ca="1" si="16"/>
        <v>8</v>
      </c>
    </row>
    <row r="135" spans="1:14" x14ac:dyDescent="0.3">
      <c r="A135" t="s">
        <v>269</v>
      </c>
      <c r="B135" t="s">
        <v>22</v>
      </c>
      <c r="C135" t="s">
        <v>42</v>
      </c>
      <c r="D135" t="s">
        <v>35</v>
      </c>
      <c r="E135" s="4">
        <v>86775</v>
      </c>
      <c r="F135" s="5">
        <v>43002</v>
      </c>
      <c r="G135" s="6">
        <v>3</v>
      </c>
      <c r="H135" t="s">
        <v>19</v>
      </c>
      <c r="I135" t="s">
        <v>95</v>
      </c>
      <c r="J135" s="7">
        <f t="shared" si="12"/>
        <v>9</v>
      </c>
      <c r="K135" s="10">
        <f t="shared" si="13"/>
        <v>2017</v>
      </c>
      <c r="L135" s="11">
        <f t="shared" si="14"/>
        <v>1</v>
      </c>
      <c r="M135" s="11" t="str">
        <f t="shared" si="15"/>
        <v>Sunday</v>
      </c>
      <c r="N135" s="11">
        <f t="shared" ca="1" si="16"/>
        <v>8</v>
      </c>
    </row>
    <row r="136" spans="1:14" x14ac:dyDescent="0.3">
      <c r="A136" t="s">
        <v>270</v>
      </c>
      <c r="B136" t="s">
        <v>41</v>
      </c>
      <c r="C136" t="s">
        <v>26</v>
      </c>
      <c r="D136" t="s">
        <v>47</v>
      </c>
      <c r="E136" s="4">
        <v>91620</v>
      </c>
      <c r="F136" s="5">
        <v>43009</v>
      </c>
      <c r="G136" s="6">
        <v>2</v>
      </c>
      <c r="H136" t="s">
        <v>36</v>
      </c>
      <c r="I136" t="s">
        <v>271</v>
      </c>
      <c r="J136" s="7">
        <f t="shared" si="12"/>
        <v>10</v>
      </c>
      <c r="K136" s="8">
        <f t="shared" si="13"/>
        <v>2017</v>
      </c>
      <c r="L136" s="9">
        <f t="shared" si="14"/>
        <v>1</v>
      </c>
      <c r="M136" s="9" t="str">
        <f t="shared" si="15"/>
        <v>Sunday</v>
      </c>
      <c r="N136" s="9">
        <f t="shared" ca="1" si="16"/>
        <v>8</v>
      </c>
    </row>
    <row r="137" spans="1:14" x14ac:dyDescent="0.3">
      <c r="A137" t="s">
        <v>272</v>
      </c>
      <c r="B137" t="s">
        <v>16</v>
      </c>
      <c r="C137" t="s">
        <v>42</v>
      </c>
      <c r="D137" t="s">
        <v>35</v>
      </c>
      <c r="E137" s="4">
        <v>94148</v>
      </c>
      <c r="F137" s="5">
        <v>43016</v>
      </c>
      <c r="G137" s="6">
        <v>2</v>
      </c>
      <c r="H137" t="s">
        <v>36</v>
      </c>
      <c r="I137" t="s">
        <v>273</v>
      </c>
      <c r="J137" s="7">
        <f t="shared" si="12"/>
        <v>10</v>
      </c>
      <c r="K137" s="10">
        <f t="shared" si="13"/>
        <v>2017</v>
      </c>
      <c r="L137" s="11">
        <f t="shared" si="14"/>
        <v>1</v>
      </c>
      <c r="M137" s="11" t="str">
        <f t="shared" si="15"/>
        <v>Sunday</v>
      </c>
      <c r="N137" s="11">
        <f t="shared" ca="1" si="16"/>
        <v>8</v>
      </c>
    </row>
    <row r="138" spans="1:14" x14ac:dyDescent="0.3">
      <c r="A138" t="s">
        <v>274</v>
      </c>
      <c r="B138" t="s">
        <v>39</v>
      </c>
      <c r="C138" t="s">
        <v>26</v>
      </c>
      <c r="D138" t="s">
        <v>64</v>
      </c>
      <c r="E138" s="4">
        <v>35627</v>
      </c>
      <c r="F138" s="5">
        <v>43023</v>
      </c>
      <c r="G138" s="6">
        <v>5</v>
      </c>
      <c r="H138" t="s">
        <v>36</v>
      </c>
      <c r="I138" t="s">
        <v>258</v>
      </c>
      <c r="J138" s="7">
        <f t="shared" si="12"/>
        <v>10</v>
      </c>
      <c r="K138" s="8">
        <f t="shared" si="13"/>
        <v>2017</v>
      </c>
      <c r="L138" s="9">
        <f t="shared" si="14"/>
        <v>1</v>
      </c>
      <c r="M138" s="9" t="str">
        <f t="shared" si="15"/>
        <v>Sunday</v>
      </c>
      <c r="N138" s="9">
        <f t="shared" ca="1" si="16"/>
        <v>8</v>
      </c>
    </row>
    <row r="139" spans="1:14" x14ac:dyDescent="0.3">
      <c r="A139" t="s">
        <v>275</v>
      </c>
      <c r="B139" t="s">
        <v>25</v>
      </c>
      <c r="C139" t="s">
        <v>42</v>
      </c>
      <c r="D139" t="s">
        <v>27</v>
      </c>
      <c r="E139" s="4">
        <v>57141</v>
      </c>
      <c r="F139" s="5">
        <v>43030</v>
      </c>
      <c r="G139" s="6">
        <v>2</v>
      </c>
      <c r="H139" t="s">
        <v>36</v>
      </c>
      <c r="I139" t="s">
        <v>264</v>
      </c>
      <c r="J139" s="7">
        <f t="shared" si="12"/>
        <v>10</v>
      </c>
      <c r="K139" s="10">
        <f t="shared" si="13"/>
        <v>2017</v>
      </c>
      <c r="L139" s="11">
        <f t="shared" si="14"/>
        <v>1</v>
      </c>
      <c r="M139" s="11" t="str">
        <f t="shared" si="15"/>
        <v>Sunday</v>
      </c>
      <c r="N139" s="11">
        <f t="shared" ca="1" si="16"/>
        <v>8</v>
      </c>
    </row>
    <row r="140" spans="1:14" x14ac:dyDescent="0.3">
      <c r="A140" t="s">
        <v>276</v>
      </c>
      <c r="B140" t="s">
        <v>54</v>
      </c>
      <c r="C140" t="s">
        <v>26</v>
      </c>
      <c r="D140" t="s">
        <v>64</v>
      </c>
      <c r="E140" s="4">
        <v>65270</v>
      </c>
      <c r="F140" s="5">
        <v>43037</v>
      </c>
      <c r="G140" s="6">
        <v>1</v>
      </c>
      <c r="H140" t="s">
        <v>36</v>
      </c>
      <c r="I140" t="s">
        <v>277</v>
      </c>
      <c r="J140" s="7">
        <f t="shared" si="12"/>
        <v>10</v>
      </c>
      <c r="K140" s="8">
        <f t="shared" si="13"/>
        <v>2017</v>
      </c>
      <c r="L140" s="9">
        <f t="shared" si="14"/>
        <v>1</v>
      </c>
      <c r="M140" s="9" t="str">
        <f t="shared" si="15"/>
        <v>Sunday</v>
      </c>
      <c r="N140" s="9">
        <f t="shared" ca="1" si="16"/>
        <v>8</v>
      </c>
    </row>
    <row r="141" spans="1:14" x14ac:dyDescent="0.3">
      <c r="A141" t="s">
        <v>278</v>
      </c>
      <c r="B141" t="s">
        <v>54</v>
      </c>
      <c r="C141" t="s">
        <v>42</v>
      </c>
      <c r="D141" t="s">
        <v>47</v>
      </c>
      <c r="E141" s="4">
        <v>67335</v>
      </c>
      <c r="F141" s="5">
        <v>43044</v>
      </c>
      <c r="G141" s="6">
        <v>1</v>
      </c>
      <c r="H141" t="s">
        <v>19</v>
      </c>
      <c r="I141" t="s">
        <v>144</v>
      </c>
      <c r="J141" s="7">
        <f t="shared" si="12"/>
        <v>11</v>
      </c>
      <c r="K141" s="10">
        <f t="shared" si="13"/>
        <v>2017</v>
      </c>
      <c r="L141" s="11">
        <f t="shared" si="14"/>
        <v>1</v>
      </c>
      <c r="M141" s="11" t="str">
        <f t="shared" si="15"/>
        <v>Sunday</v>
      </c>
      <c r="N141" s="11">
        <f t="shared" ca="1" si="16"/>
        <v>8</v>
      </c>
    </row>
    <row r="142" spans="1:14" x14ac:dyDescent="0.3">
      <c r="A142" t="s">
        <v>279</v>
      </c>
      <c r="B142" t="s">
        <v>39</v>
      </c>
      <c r="C142" t="s">
        <v>42</v>
      </c>
      <c r="D142" t="s">
        <v>35</v>
      </c>
      <c r="E142" s="4">
        <v>98475</v>
      </c>
      <c r="F142" s="5">
        <v>43051</v>
      </c>
      <c r="G142" s="6">
        <v>5</v>
      </c>
      <c r="H142" t="s">
        <v>19</v>
      </c>
      <c r="I142" t="s">
        <v>280</v>
      </c>
      <c r="J142" s="7">
        <f t="shared" si="12"/>
        <v>11</v>
      </c>
      <c r="K142" s="12">
        <f t="shared" si="13"/>
        <v>2017</v>
      </c>
      <c r="L142" s="7">
        <f t="shared" si="14"/>
        <v>1</v>
      </c>
      <c r="M142" s="7" t="str">
        <f t="shared" si="15"/>
        <v>Sunday</v>
      </c>
      <c r="N142" s="7">
        <f t="shared" ca="1" si="16"/>
        <v>8</v>
      </c>
    </row>
  </sheetData>
  <autoFilter ref="K1:N142" xr:uid="{5BBF9526-D779-44E3-B542-F2B949E6D6E8}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Masthabanu S</dc:creator>
  <cp:lastModifiedBy>Masthabanu S</cp:lastModifiedBy>
  <dcterms:created xsi:type="dcterms:W3CDTF">2026-01-30T05:19:56Z</dcterms:created>
  <dcterms:modified xsi:type="dcterms:W3CDTF">2026-01-31T14:18:45Z</dcterms:modified>
</cp:coreProperties>
</file>